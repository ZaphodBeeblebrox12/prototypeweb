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897862061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62204a6909e41cb"/>
    <x:sheet xmlns:r="http://schemas.openxmlformats.org/officeDocument/2006/relationships" name="Trade Journal" sheetId="2" r:id="Rbc3f2aca781c421c"/>
    <x:sheet xmlns:r="http://schemas.openxmlformats.org/officeDocument/2006/relationships" name="Field Guide" sheetId="3" r:id="R5f62259a52cd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%"/>
    <x:numFmt numFmtId="202" formatCode="₹#,##0.00;[Red](₹#,##0.00)"/>
    <x:numFmt numFmtId="203" formatCode="0.00x"/>
    <x:numFmt numFmtId="204" formatCode="dd-mmm-yyyy"/>
    <x:numFmt numFmtId="205" formatCode="0.00x;[Red](0.00x)"/>
  </x:numFmts>
  <x:fonts count="13">
    <x:font>
      <x:sz val="11"/>
      <x:name val="Carlito"/>
    </x:font>
    <x:font>
      <x:b/>
      <x:sz val="11"/>
      <x:color rgb="FFF8F4E9"/>
      <x:name val="Carlito"/>
    </x:font>
    <x:font>
      <x:sz val="22"/>
      <x:color rgb="FF355A46"/>
      <x:name val="Georgia"/>
    </x:font>
    <x:font>
      <x:b/>
      <x:sz val="10"/>
      <x:color rgb="FF355A46"/>
      <x:name val="Carlito"/>
    </x:font>
    <x:font>
      <x:sz val="12"/>
      <x:color rgb="FFC96F50"/>
      <x:name val="Consolas"/>
    </x:font>
    <x:font>
      <x:b/>
      <x:sz val="10"/>
      <x:color rgb="FF29382E"/>
      <x:name val="Carlito"/>
    </x:font>
    <x:font>
      <x:sz val="10"/>
      <x:color rgb="FF687268"/>
      <x:name val="Carlito"/>
    </x:font>
    <x:font>
      <x:b/>
      <x:sz val="9"/>
      <x:color rgb="FF687268"/>
      <x:name val="Carlito"/>
    </x:font>
    <x:font>
      <x:b/>
      <x:sz val="20"/>
      <x:color rgb="FF355A46"/>
      <x:name val="Carlito"/>
    </x:font>
    <x:font>
      <x:b/>
      <x:sz val="9"/>
      <x:color rgb="FFFFFFFF"/>
      <x:name val="Carlito"/>
    </x:font>
    <x:font>
      <x:sz val="10"/>
      <x:color rgb="FF29382E"/>
      <x:name val="Carlito"/>
    </x:font>
    <x:font>
      <x:b/>
      <x:sz val="10"/>
      <x:color rgb="FFFFFFFF"/>
      <x:name val="Carlito"/>
    </x:font>
    <x:font>
      <x:sz val="10"/>
      <x:color rgb="FFC96F5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54334"/>
      </x:patternFill>
    </x:fill>
    <x:fill>
      <x:patternFill patternType="solid">
        <x:fgColor rgb="FFFBF7EF"/>
      </x:patternFill>
    </x:fill>
    <x:fill>
      <x:patternFill patternType="solid">
        <x:fgColor rgb="FFDCE7D6"/>
      </x:patternFill>
    </x:fill>
    <x:fill>
      <x:patternFill patternType="solid">
        <x:fgColor rgb="FFF2EBDF"/>
      </x:patternFill>
    </x:fill>
    <x:fill>
      <x:patternFill patternType="solid">
        <x:fgColor rgb="FFFFFDF8"/>
      </x:patternFill>
    </x:fill>
    <x:fill>
      <x:patternFill patternType="solid">
        <x:fgColor rgb="FF355A46"/>
      </x:patternFill>
    </x:fill>
    <x:fill>
      <x:patternFill patternType="solid">
        <x:fgColor rgb="FFEDF0E7"/>
      </x:patternFill>
    </x:fill>
  </x:fills>
  <x:borders count="8">
    <x:border/>
    <x:border/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200" fontId="8" fillId="6" borderId="1" xfId="0" applyNumberFormat="1" applyFont="1" applyFill="1" applyBorder="1"/>
    <x:xf numFmtId="200" fontId="8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 vertical="center"/>
    </x:xf>
    <x:xf numFmtId="201" fontId="8" fillId="6" borderId="0" xfId="0" applyNumberFormat="1" applyFont="1" applyFill="1" applyBorder="1"/>
    <x:xf numFmtId="201" fontId="8" fillId="6" borderId="0" xfId="0" applyNumberFormat="1" applyFont="1" applyFill="1" applyBorder="1" applyAlignment="1">
      <x:alignment horizontal="center"/>
    </x:xf>
    <x:xf numFmtId="201" fontId="8" fillId="6" borderId="0" xfId="0" applyNumberFormat="1" applyFont="1" applyFill="1" applyBorder="1" applyAlignment="1">
      <x:alignment horizontal="center" vertical="center"/>
    </x:xf>
    <x:xf numFmtId="201" fontId="8" fillId="6" borderId="1" xfId="0" applyNumberFormat="1" applyFont="1" applyFill="1" applyBorder="1"/>
    <x:xf numFmtId="201" fontId="8" fillId="6" borderId="1" xfId="0" applyNumberFormat="1" applyFont="1" applyFill="1" applyBorder="1" applyAlignment="1">
      <x:alignment horizontal="center"/>
    </x:xf>
    <x:xf numFmtId="201" fontId="8" fillId="6" borderId="1" xfId="0" applyNumberFormat="1" applyFont="1" applyFill="1" applyBorder="1" applyAlignment="1">
      <x:alignment horizontal="center" vertical="center"/>
    </x:xf>
    <x:xf numFmtId="202" fontId="8" fillId="6" borderId="0" xfId="0" applyNumberFormat="1" applyFont="1" applyFill="1" applyBorder="1"/>
    <x:xf numFmtId="202" fontId="8" fillId="6" borderId="0" xfId="0" applyNumberFormat="1" applyFont="1" applyFill="1" applyBorder="1" applyAlignment="1">
      <x:alignment horizontal="center"/>
    </x:xf>
    <x:xf numFmtId="202" fontId="8" fillId="6" borderId="0" xfId="0" applyNumberFormat="1" applyFont="1" applyFill="1" applyBorder="1" applyAlignment="1">
      <x:alignment horizontal="center" vertical="center"/>
    </x:xf>
    <x:xf numFmtId="202" fontId="8" fillId="6" borderId="1" xfId="0" applyNumberFormat="1" applyFont="1" applyFill="1" applyBorder="1"/>
    <x:xf numFmtId="202" fontId="8" fillId="6" borderId="1" xfId="0" applyNumberFormat="1" applyFont="1" applyFill="1" applyBorder="1" applyAlignment="1">
      <x:alignment horizontal="center"/>
    </x:xf>
    <x:xf numFmtId="202" fontId="8" fillId="6" borderId="1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/>
    <x:xf numFmtId="203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 vertical="center"/>
    </x:xf>
    <x:xf numFmtId="203" fontId="8" fillId="6" borderId="1" xfId="0" applyNumberFormat="1" applyFont="1" applyFill="1" applyBorder="1"/>
    <x:xf numFmtId="203" fontId="8" fillId="6" borderId="1" xfId="0" applyNumberFormat="1" applyFont="1" applyFill="1" applyBorder="1" applyAlignment="1">
      <x:alignment horizontal="center"/>
    </x:xf>
    <x:xf numFmtId="203" fontId="8" fillId="6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horizont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3" xfId="0" applyNumberFormat="1" applyFont="1" applyFill="1" applyBorder="1"/>
    <x:xf numFmtId="0" fontId="9" fillId="7" borderId="3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horizont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5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4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204" fontId="10" fillId="6" borderId="0" xfId="0" applyNumberFormat="1" applyFont="1" applyFill="1" applyBorder="1" applyAlignment="1">
      <x:alignment vertical="center" wrapText="1"/>
    </x:xf>
    <x:xf numFmtId="204" fontId="10" fillId="6" borderId="4" xfId="0" applyNumberFormat="1" applyFont="1" applyFill="1" applyBorder="1" applyAlignment="1">
      <x:alignment vertical="center" wrapText="1"/>
    </x:xf>
    <x:xf numFmtId="204" fontId="10" fillId="6" borderId="1" xfId="0" applyNumberFormat="1" applyFont="1" applyFill="1" applyBorder="1" applyAlignment="1">
      <x:alignment vertical="center" wrapText="1"/>
    </x:xf>
    <x:xf numFmtId="204" fontId="10" fillId="6" borderId="5" xfId="0" applyNumberFormat="1" applyFont="1" applyFill="1" applyBorder="1" applyAlignment="1">
      <x:alignment vertical="center" wrapText="1"/>
    </x:xf>
    <x:xf numFmtId="202" fontId="10" fillId="6" borderId="0" xfId="0" applyNumberFormat="1" applyFont="1" applyFill="1" applyBorder="1" applyAlignment="1">
      <x:alignment vertical="center" wrapText="1"/>
    </x:xf>
    <x:xf numFmtId="202" fontId="10" fillId="6" borderId="4" xfId="0" applyNumberFormat="1" applyFont="1" applyFill="1" applyBorder="1" applyAlignment="1">
      <x:alignment vertical="center" wrapText="1"/>
    </x:xf>
    <x:xf numFmtId="202" fontId="10" fillId="6" borderId="1" xfId="0" applyNumberFormat="1" applyFont="1" applyFill="1" applyBorder="1" applyAlignment="1">
      <x:alignment vertical="center" wrapText="1"/>
    </x:xf>
    <x:xf numFmtId="202" fontId="10" fillId="6" borderId="5" xfId="0" applyNumberFormat="1" applyFont="1" applyFill="1" applyBorder="1" applyAlignment="1">
      <x:alignment vertical="center" wrapText="1"/>
    </x:xf>
    <x:xf numFmtId="202" fontId="10" fillId="8" borderId="0" xfId="0" applyNumberFormat="1" applyFont="1" applyFill="1" applyBorder="1" applyAlignment="1">
      <x:alignment vertical="center" wrapText="1"/>
    </x:xf>
    <x:xf numFmtId="202" fontId="10" fillId="8" borderId="4" xfId="0" applyNumberFormat="1" applyFont="1" applyFill="1" applyBorder="1" applyAlignment="1">
      <x:alignment vertical="center" wrapText="1"/>
    </x:xf>
    <x:xf numFmtId="202" fontId="10" fillId="8" borderId="1" xfId="0" applyNumberFormat="1" applyFont="1" applyFill="1" applyBorder="1" applyAlignment="1">
      <x:alignment vertical="center" wrapText="1"/>
    </x:xf>
    <x:xf numFmtId="202" fontId="10" fillId="8" borderId="5" xfId="0" applyNumberFormat="1" applyFont="1" applyFill="1" applyBorder="1" applyAlignment="1">
      <x:alignment vertical="center" wrapText="1"/>
    </x:xf>
    <x:xf numFmtId="205" fontId="10" fillId="8" borderId="0" xfId="0" applyNumberFormat="1" applyFont="1" applyFill="1" applyBorder="1" applyAlignment="1">
      <x:alignment vertical="center" wrapText="1"/>
    </x:xf>
    <x:xf numFmtId="205" fontId="10" fillId="8" borderId="4" xfId="0" applyNumberFormat="1" applyFont="1" applyFill="1" applyBorder="1" applyAlignment="1">
      <x:alignment vertical="center" wrapText="1"/>
    </x:xf>
    <x:xf numFmtId="205" fontId="10" fillId="8" borderId="1" xfId="0" applyNumberFormat="1" applyFont="1" applyFill="1" applyBorder="1" applyAlignment="1">
      <x:alignment vertical="center" wrapText="1"/>
    </x:xf>
    <x:xf numFmtId="205" fontId="10" fillId="8" borderId="5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/>
    <x:xf numFmtId="0" fontId="10" fillId="0" borderId="6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/>
    <x:xf numFmtId="0" fontId="10" fillId="0" borderId="7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55A46"/>
      </x:font>
    </x:dxf>
    <x:dxf>
      <x:font>
        <x:b/>
        <x:color rgb="FFC96F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0411bb0764954" /><Relationship Type="http://schemas.openxmlformats.org/officeDocument/2006/relationships/theme" Target="/xl/theme/theme1.xml" Id="R95e6d3ba05af4f48" /><Relationship Type="http://schemas.openxmlformats.org/officeDocument/2006/relationships/sharedStrings" Target="/xl/sharedStrings.xml" Id="R2c487b43317c4221" /><Relationship Type="http://schemas.openxmlformats.org/officeDocument/2006/relationships/worksheet" Target="/xl/worksheets/sheet1.xml" Id="R062204a6909e41cb" /><Relationship Type="http://schemas.openxmlformats.org/officeDocument/2006/relationships/worksheet" Target="/xl/worksheets/sheet2.xml" Id="Rbc3f2aca781c421c" /><Relationship Type="http://schemas.openxmlformats.org/officeDocument/2006/relationships/worksheet" Target="/xl/worksheets/sheet3.xml" Id="R5f62259a52cd4767" /></Relationships>
</file>

<file path=xl/tables/table1.xml><?xml version="1.0" encoding="utf-8"?>
<x:table xmlns:x="http://schemas.openxmlformats.org/spreadsheetml/2006/main" id="1" name="TradeJournalTable" displayName="TradeJournalTable" ref="A5:Q205" headerRowCount="1" totalsRowCount="0" totalsRowShown="0">
  <x:tableColumns count="17">
    <x:tableColumn id="1" name="Date"/>
    <x:tableColumn id="2" name="Instrument"/>
    <x:tableColumn id="3" name="Setup type"/>
    <x:tableColumn id="4" name="Direction"/>
    <x:tableColumn id="5" name="Entry price"/>
    <x:tableColumn id="6" name="Stop price"/>
    <x:tableColumn id="7" name="Exit price"/>
    <x:tableColumn id="8" name="Qty / contracts"/>
    <x:tableColumn id="9" name="₹ per point"/>
    <x:tableColumn id="10" name="Planned risk (₹)"/>
    <x:tableColumn id="11" name="Gross P&amp;L (₹)"/>
    <x:tableColumn id="12" name="Costs (₹)"/>
    <x:tableColumn id="13" name="Net P&amp;L (₹)"/>
    <x:tableColumn id="14" name="R result"/>
    <x:tableColumn id="15" name="Checklist followed?"/>
    <x:tableColumn id="16" name="Mistake code"/>
    <x:tableColumn id="17" name="One-line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335ec55be45a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TRADETHESIS  /  THE TRADING PATH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Trade journal
A quiet record of the decisions behind each trade.</x:v>
      </x:c>
      <x:c r="B2" s="11"/>
      <x:c r="C2" s="11"/>
      <x:c r="D2" s="11"/>
      <x:c r="E2" s="11"/>
      <x:c r="F2" s="11"/>
      <x:c r="G2" s="11"/>
      <x:c r="H2" s="11"/>
    </x:row>
    <x:row r="3" ht="32" customHeight="1">
      <x:c r="A3" s="11"/>
      <x:c r="B3" s="11"/>
      <x:c r="C3" s="11"/>
      <x:c r="D3" s="11"/>
      <x:c r="E3" s="11"/>
      <x:c r="F3" s="11"/>
      <x:c r="G3" s="11"/>
      <x:c r="H3" s="11"/>
    </x:row>
    <x:row r="5" ht="23" customHeight="1">
      <x:c r="A5" s="18" t="str">
        <x:v>HOW TO USE THIS WORKBOOK</x:v>
      </x:c>
      <x:c r="B5" s="18"/>
      <x:c r="C5" s="18"/>
      <x:c r="D5" s="18"/>
      <x:c r="E5" s="18"/>
      <x:c r="F5" s="18"/>
      <x:c r="G5" s="18"/>
      <x:c r="H5" s="18"/>
    </x:row>
    <x:row r="6" ht="42" customHeight="1">
      <x:c r="A6" s="24" t="str">
        <x:v>01</x:v>
      </x:c>
      <x:c r="B6" s="30" t="str">
        <x:v>Enter one trade per row</x:v>
      </x:c>
      <x:c r="C6" s="36" t="str">
        <x:v>Fill in the cream cells on the Trade Journal sheet. Formula cells are shaded sage.</x:v>
      </x:c>
      <x:c r="D6" s="36"/>
      <x:c r="E6" s="36"/>
      <x:c r="F6" s="36"/>
      <x:c r="G6" s="36"/>
      <x:c r="H6" s="36"/>
    </x:row>
    <x:row r="7" ht="42" customHeight="1">
      <x:c r="A7" s="24" t="str">
        <x:v>02</x:v>
      </x:c>
      <x:c r="B7" s="30" t="str">
        <x:v>Use the point value correctly</x:v>
      </x:c>
      <x:c r="C7" s="36" t="str">
        <x:v>For shares, this is usually ₹1 per ₹1 price move per share. For derivatives, use the rupee value per point for the quantity entered.</x:v>
      </x:c>
      <x:c r="D7" s="36"/>
      <x:c r="E7" s="36"/>
      <x:c r="F7" s="36"/>
      <x:c r="G7" s="36"/>
      <x:c r="H7" s="36"/>
    </x:row>
    <x:row r="8" ht="42" customHeight="1">
      <x:c r="A8" s="24" t="str">
        <x:v>03</x:v>
      </x:c>
      <x:c r="B8" s="30" t="str">
        <x:v>Let the sheet calculate</x:v>
      </x:c>
      <x:c r="C8" s="36" t="str">
        <x:v>Planned risk, gross P&amp;L, net P&amp;L and R result calculate from your trade inputs.</x:v>
      </x:c>
      <x:c r="D8" s="36"/>
      <x:c r="E8" s="36"/>
      <x:c r="F8" s="36"/>
      <x:c r="G8" s="36"/>
      <x:c r="H8" s="36"/>
    </x:row>
    <x:row r="9" ht="42" customHeight="1">
      <x:c r="A9" s="24" t="str">
        <x:v>04</x:v>
      </x:c>
      <x:c r="B9" s="30" t="str">
        <x:v>Write the useful sentence</x:v>
      </x:c>
      <x:c r="C9" s="36" t="str">
        <x:v>Record the decision, mistake or observation you want to remember—not a market prediction.</x:v>
      </x:c>
      <x:c r="D9" s="36"/>
      <x:c r="E9" s="36"/>
      <x:c r="F9" s="36"/>
      <x:c r="G9" s="36"/>
      <x:c r="H9" s="36"/>
    </x:row>
    <x:row r="11" ht="23" customHeight="1">
      <x:c r="A11" s="18" t="str">
        <x:v>AT A GLANCE</x:v>
      </x:c>
      <x:c r="B11" s="18"/>
      <x:c r="C11" s="18"/>
      <x:c r="D11" s="18"/>
      <x:c r="E11" s="18"/>
      <x:c r="F11" s="18"/>
      <x:c r="G11" s="18"/>
      <x:c r="H11" s="18"/>
    </x:row>
    <x:row r="12" ht="24" customHeight="1">
      <x:c r="A12" s="43" t="str">
        <x:v>TRADES LOGGED</x:v>
      </x:c>
      <x:c r="B12" s="43"/>
      <x:c r="C12" s="43" t="str">
        <x:v>WIN RATE</x:v>
      </x:c>
      <x:c r="D12" s="43"/>
      <x:c r="E12" s="43" t="str">
        <x:v>NET P&amp;L (₹)</x:v>
      </x:c>
      <x:c r="F12" s="43"/>
      <x:c r="G12" s="43" t="str">
        <x:v>AVERAGE R</x:v>
      </x:c>
      <x:c r="H12" s="43"/>
    </x:row>
    <x:row r="13" ht="25" customHeight="1">
      <x:c r="A13" s="52" t="n">
        <x:f>COUNTA('Trade Journal'!B6:B205)</x:f>
        <x:v>0</x:v>
      </x:c>
      <x:c r="B13" s="52"/>
      <x:c r="C13" s="60" t="n">
        <x:f>IFERROR(COUNTIF('Trade Journal'!M6:M205,"&gt;0")/(COUNTIF('Trade Journal'!M6:M205,"&gt;0")+COUNTIF('Trade Journal'!M6:M205,"&lt;0")),0)</x:f>
        <x:v>0</x:v>
      </x:c>
      <x:c r="D13" s="60"/>
      <x:c r="E13" s="66" t="n">
        <x:f>SUM('Trade Journal'!M6:M205)</x:f>
        <x:v>0</x:v>
      </x:c>
      <x:c r="F13" s="66"/>
      <x:c r="G13" s="72" t="n">
        <x:f>IFERROR(AVERAGE('Trade Journal'!N6:N205),0)</x:f>
        <x:v>0</x:v>
      </x:c>
      <x:c r="H13" s="72"/>
    </x:row>
    <x:row r="14" ht="25" customHeight="1">
      <x:c r="A14" s="52"/>
      <x:c r="B14" s="52"/>
      <x:c r="C14" s="60"/>
      <x:c r="D14" s="60"/>
      <x:c r="E14" s="66"/>
      <x:c r="F14" s="66"/>
      <x:c r="G14" s="72"/>
      <x:c r="H14" s="72"/>
    </x:row>
    <x:row r="16" ht="23" customHeight="1">
      <x:c r="A16" s="77" t="str">
        <x:v>A NOTE ON THE NUMBERS</x:v>
      </x:c>
      <x:c r="B16" s="77"/>
      <x:c r="C16" s="77"/>
      <x:c r="D16" s="77"/>
      <x:c r="E16" s="77"/>
      <x:c r="F16" s="77"/>
      <x:c r="G16" s="77"/>
      <x:c r="H16" s="77"/>
    </x:row>
    <x:row r="17" ht="25" customHeight="1">
      <x:c r="A17" s="82" t="str">
        <x:v>This workbook is a record-keeping aid, not a trading signal or broker statement. The point-value field must match the instrument and quantity you enter. Formulas assume LONG or SHORT, a positive quantity, and a planned risk greater than zero. Review actual fills, charges and contract specifications before relying on any calculated result.</x:v>
      </x:c>
      <x:c r="B17" s="82"/>
      <x:c r="C17" s="82"/>
      <x:c r="D17" s="82"/>
      <x:c r="E17" s="82"/>
      <x:c r="F17" s="82"/>
      <x:c r="G17" s="82"/>
      <x:c r="H17" s="82"/>
    </x:row>
    <x:row r="18" ht="25" customHeight="1">
      <x:c r="A18" s="82"/>
      <x:c r="B18" s="82"/>
      <x:c r="C18" s="82"/>
      <x:c r="D18" s="82"/>
      <x:c r="E18" s="82"/>
      <x:c r="F18" s="82"/>
      <x:c r="G18" s="82"/>
      <x:c r="H18" s="82"/>
    </x:row>
    <x:row r="19" ht="25" customHeight="1">
      <x:c r="A19" s="82"/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3"/>
    <x:mergeCell ref="A5:H5"/>
    <x:mergeCell ref="C6:H6"/>
    <x:mergeCell ref="C7:H7"/>
    <x:mergeCell ref="C8:H8"/>
    <x:mergeCell ref="C9:H9"/>
    <x:mergeCell ref="A11:H11"/>
    <x:mergeCell ref="A12:B12"/>
    <x:mergeCell ref="C12:D12"/>
    <x:mergeCell ref="E12:F12"/>
    <x:mergeCell ref="G12:H12"/>
    <x:mergeCell ref="A13:B14"/>
    <x:mergeCell ref="C13:D14"/>
    <x:mergeCell ref="E13:F14"/>
    <x:mergeCell ref="G13:H14"/>
    <x:mergeCell ref="A16:H16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3" hidden="0" customWidth="1"/>
    <x:col min="13" max="13" width="16" hidden="0" customWidth="1"/>
    <x:col min="14" max="14" width="10" hidden="0" customWidth="1"/>
    <x:col min="15" max="15" width="17" hidden="0" customWidth="1"/>
    <x:col min="16" max="16" width="14" hidden="0" customWidth="1"/>
    <x:col min="17" max="17" width="42" hidden="0" customWidth="1"/>
  </x:cols>
  <x:sheetData>
    <x:row r="1" ht="28" customHeight="1">
      <x:c r="A1" s="4" t="str">
        <x:v>TRADETHESIS  /  TRADE JOURNAL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87" t="str">
        <x:v>One trade per row  ·  Enter values in cream cells  ·  Calculations appear in sage cells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87"/>
    </x:row>
    <x:row r="5" ht="36" customHeight="1">
      <x:c r="A5" s="95" t="str">
        <x:v>Date</x:v>
      </x:c>
      <x:c r="B5" s="95" t="str">
        <x:v>Instrument</x:v>
      </x:c>
      <x:c r="C5" s="95" t="str">
        <x:v>Setup type</x:v>
      </x:c>
      <x:c r="D5" s="95" t="str">
        <x:v>Direction</x:v>
      </x:c>
      <x:c r="E5" s="95" t="str">
        <x:v>Entry price</x:v>
      </x:c>
      <x:c r="F5" s="95" t="str">
        <x:v>Stop price</x:v>
      </x:c>
      <x:c r="G5" s="95" t="str">
        <x:v>Exit price</x:v>
      </x:c>
      <x:c r="H5" s="95" t="str">
        <x:v>Qty / contracts</x:v>
      </x:c>
      <x:c r="I5" s="95" t="str">
        <x:v>₹ per point</x:v>
      </x:c>
      <x:c r="J5" s="95" t="str">
        <x:v>Planned risk (₹)</x:v>
      </x:c>
      <x:c r="K5" s="95" t="str">
        <x:v>Gross P&amp;L (₹)</x:v>
      </x:c>
      <x:c r="L5" s="95" t="str">
        <x:v>Costs (₹)</x:v>
      </x:c>
      <x:c r="M5" s="95" t="str">
        <x:v>Net P&amp;L (₹)</x:v>
      </x:c>
      <x:c r="N5" s="95" t="str">
        <x:v>R result</x:v>
      </x:c>
      <x:c r="O5" s="95" t="str">
        <x:v>Checklist followed?</x:v>
      </x:c>
      <x:c r="P5" s="95" t="str">
        <x:v>Mistake code</x:v>
      </x:c>
      <x:c r="Q5" s="95" t="str">
        <x:v>One-line review</x:v>
      </x:c>
    </x:row>
    <x:row r="6" ht="24" customHeight="1">
      <x:c r="A6" s="122"/>
      <x:c r="B6" s="114"/>
      <x:c r="C6" s="114"/>
      <x:c r="D6" s="114"/>
      <x:c r="E6" s="126"/>
      <x:c r="F6" s="126"/>
      <x:c r="G6" s="126"/>
      <x:c r="H6" s="114"/>
      <x:c r="I6" s="126"/>
      <x:c r="J6" s="130" t="str">
        <x:f>IF(OR(E6="",F6="",H6="",I6=""),"",ABS(E6-F6)*H6*I6)</x:f>
      </x:c>
      <x:c r="K6" s="130" t="str">
        <x:f>IF(OR(D6="",E6="",G6="",H6="",I6=""),"",IF(UPPER(D6)="LONG",(G6-E6)*H6*I6,IF(UPPER(D6)="SHORT",(E6-G6)*H6*I6,"")))</x:f>
      </x:c>
      <x:c r="L6" s="126"/>
      <x:c r="M6" s="130" t="str">
        <x:f>IF(K6="","",K6-IF(L6="",0,L6))</x:f>
      </x:c>
      <x:c r="N6" s="134" t="str">
        <x:f>IF(OR(M6="",J6="",J6=0),"",M6/J6)</x:f>
      </x:c>
      <x:c r="O6" s="114"/>
      <x:c r="P6" s="114"/>
      <x:c r="Q6" s="114"/>
    </x:row>
    <x:row r="7" ht="24" customHeight="1">
      <x:c r="A7" s="122"/>
      <x:c r="B7" s="114"/>
      <x:c r="C7" s="114"/>
      <x:c r="D7" s="114"/>
      <x:c r="E7" s="126"/>
      <x:c r="F7" s="126"/>
      <x:c r="G7" s="126"/>
      <x:c r="H7" s="114"/>
      <x:c r="I7" s="126"/>
      <x:c r="J7" s="130" t="str">
        <x:f>IF(OR(E7="",F7="",H7="",I7=""),"",ABS(E7-F7)*H7*I7)</x:f>
      </x:c>
      <x:c r="K7" s="130" t="str">
        <x:f>IF(OR(D7="",E7="",G7="",H7="",I7=""),"",IF(UPPER(D7)="LONG",(G7-E7)*H7*I7,IF(UPPER(D7)="SHORT",(E7-G7)*H7*I7,"")))</x:f>
      </x:c>
      <x:c r="L7" s="126"/>
      <x:c r="M7" s="130" t="str">
        <x:f>IF(K7="","",K7-IF(L7="",0,L7))</x:f>
      </x:c>
      <x:c r="N7" s="134" t="str">
        <x:f>IF(OR(M7="",J7="",J7=0),"",M7/J7)</x:f>
      </x:c>
      <x:c r="O7" s="114"/>
      <x:c r="P7" s="114"/>
      <x:c r="Q7" s="114"/>
    </x:row>
    <x:row r="8" ht="24" customHeight="1">
      <x:c r="A8" s="122"/>
      <x:c r="B8" s="114"/>
      <x:c r="C8" s="114"/>
      <x:c r="D8" s="114"/>
      <x:c r="E8" s="126"/>
      <x:c r="F8" s="126"/>
      <x:c r="G8" s="126"/>
      <x:c r="H8" s="114"/>
      <x:c r="I8" s="126"/>
      <x:c r="J8" s="130" t="str">
        <x:f>IF(OR(E8="",F8="",H8="",I8=""),"",ABS(E8-F8)*H8*I8)</x:f>
      </x:c>
      <x:c r="K8" s="130" t="str">
        <x:f>IF(OR(D8="",E8="",G8="",H8="",I8=""),"",IF(UPPER(D8)="LONG",(G8-E8)*H8*I8,IF(UPPER(D8)="SHORT",(E8-G8)*H8*I8,"")))</x:f>
      </x:c>
      <x:c r="L8" s="126"/>
      <x:c r="M8" s="130" t="str">
        <x:f>IF(K8="","",K8-IF(L8="",0,L8))</x:f>
      </x:c>
      <x:c r="N8" s="134" t="str">
        <x:f>IF(OR(M8="",J8="",J8=0),"",M8/J8)</x:f>
      </x:c>
      <x:c r="O8" s="114"/>
      <x:c r="P8" s="114"/>
      <x:c r="Q8" s="114"/>
    </x:row>
    <x:row r="9" ht="24" customHeight="1">
      <x:c r="A9" s="122"/>
      <x:c r="B9" s="114"/>
      <x:c r="C9" s="114"/>
      <x:c r="D9" s="114"/>
      <x:c r="E9" s="126"/>
      <x:c r="F9" s="126"/>
      <x:c r="G9" s="126"/>
      <x:c r="H9" s="114"/>
      <x:c r="I9" s="126"/>
      <x:c r="J9" s="130" t="str">
        <x:f>IF(OR(E9="",F9="",H9="",I9=""),"",ABS(E9-F9)*H9*I9)</x:f>
      </x:c>
      <x:c r="K9" s="130" t="str">
        <x:f>IF(OR(D9="",E9="",G9="",H9="",I9=""),"",IF(UPPER(D9)="LONG",(G9-E9)*H9*I9,IF(UPPER(D9)="SHORT",(E9-G9)*H9*I9,"")))</x:f>
      </x:c>
      <x:c r="L9" s="126"/>
      <x:c r="M9" s="130" t="str">
        <x:f>IF(K9="","",K9-IF(L9="",0,L9))</x:f>
      </x:c>
      <x:c r="N9" s="134" t="str">
        <x:f>IF(OR(M9="",J9="",J9=0),"",M9/J9)</x:f>
      </x:c>
      <x:c r="O9" s="114"/>
      <x:c r="P9" s="114"/>
      <x:c r="Q9" s="114"/>
    </x:row>
    <x:row r="10" ht="24" customHeight="1">
      <x:c r="A10" s="122"/>
      <x:c r="B10" s="114"/>
      <x:c r="C10" s="114"/>
      <x:c r="D10" s="114"/>
      <x:c r="E10" s="126"/>
      <x:c r="F10" s="126"/>
      <x:c r="G10" s="126"/>
      <x:c r="H10" s="114"/>
      <x:c r="I10" s="126"/>
      <x:c r="J10" s="130" t="str">
        <x:f>IF(OR(E10="",F10="",H10="",I10=""),"",ABS(E10-F10)*H10*I10)</x:f>
      </x:c>
      <x:c r="K10" s="130" t="str">
        <x:f>IF(OR(D10="",E10="",G10="",H10="",I10=""),"",IF(UPPER(D10)="LONG",(G10-E10)*H10*I10,IF(UPPER(D10)="SHORT",(E10-G10)*H10*I10,"")))</x:f>
      </x:c>
      <x:c r="L10" s="126"/>
      <x:c r="M10" s="130" t="str">
        <x:f>IF(K10="","",K10-IF(L10="",0,L10))</x:f>
      </x:c>
      <x:c r="N10" s="134" t="str">
        <x:f>IF(OR(M10="",J10="",J10=0),"",M10/J10)</x:f>
      </x:c>
      <x:c r="O10" s="114"/>
      <x:c r="P10" s="114"/>
      <x:c r="Q10" s="114"/>
    </x:row>
    <x:row r="11" ht="24" customHeight="1">
      <x:c r="A11" s="122"/>
      <x:c r="B11" s="114"/>
      <x:c r="C11" s="114"/>
      <x:c r="D11" s="114"/>
      <x:c r="E11" s="126"/>
      <x:c r="F11" s="126"/>
      <x:c r="G11" s="126"/>
      <x:c r="H11" s="114"/>
      <x:c r="I11" s="126"/>
      <x:c r="J11" s="130" t="str">
        <x:f>IF(OR(E11="",F11="",H11="",I11=""),"",ABS(E11-F11)*H11*I11)</x:f>
      </x:c>
      <x:c r="K11" s="130" t="str">
        <x:f>IF(OR(D11="",E11="",G11="",H11="",I11=""),"",IF(UPPER(D11)="LONG",(G11-E11)*H11*I11,IF(UPPER(D11)="SHORT",(E11-G11)*H11*I11,"")))</x:f>
      </x:c>
      <x:c r="L11" s="126"/>
      <x:c r="M11" s="130" t="str">
        <x:f>IF(K11="","",K11-IF(L11="",0,L11))</x:f>
      </x:c>
      <x:c r="N11" s="134" t="str">
        <x:f>IF(OR(M11="",J11="",J11=0),"",M11/J11)</x:f>
      </x:c>
      <x:c r="O11" s="114"/>
      <x:c r="P11" s="114"/>
      <x:c r="Q11" s="114"/>
    </x:row>
    <x:row r="12" ht="24" customHeight="1">
      <x:c r="A12" s="122"/>
      <x:c r="B12" s="114"/>
      <x:c r="C12" s="114"/>
      <x:c r="D12" s="114"/>
      <x:c r="E12" s="126"/>
      <x:c r="F12" s="126"/>
      <x:c r="G12" s="126"/>
      <x:c r="H12" s="114"/>
      <x:c r="I12" s="126"/>
      <x:c r="J12" s="130" t="str">
        <x:f>IF(OR(E12="",F12="",H12="",I12=""),"",ABS(E12-F12)*H12*I12)</x:f>
      </x:c>
      <x:c r="K12" s="130" t="str">
        <x:f>IF(OR(D12="",E12="",G12="",H12="",I12=""),"",IF(UPPER(D12)="LONG",(G12-E12)*H12*I12,IF(UPPER(D12)="SHORT",(E12-G12)*H12*I12,"")))</x:f>
      </x:c>
      <x:c r="L12" s="126"/>
      <x:c r="M12" s="130" t="str">
        <x:f>IF(K12="","",K12-IF(L12="",0,L12))</x:f>
      </x:c>
      <x:c r="N12" s="134" t="str">
        <x:f>IF(OR(M12="",J12="",J12=0),"",M12/J12)</x:f>
      </x:c>
      <x:c r="O12" s="114"/>
      <x:c r="P12" s="114"/>
      <x:c r="Q12" s="114"/>
    </x:row>
    <x:row r="13" ht="24" customHeight="1">
      <x:c r="A13" s="122"/>
      <x:c r="B13" s="114"/>
      <x:c r="C13" s="114"/>
      <x:c r="D13" s="114"/>
      <x:c r="E13" s="126"/>
      <x:c r="F13" s="126"/>
      <x:c r="G13" s="126"/>
      <x:c r="H13" s="114"/>
      <x:c r="I13" s="126"/>
      <x:c r="J13" s="130" t="str">
        <x:f>IF(OR(E13="",F13="",H13="",I13=""),"",ABS(E13-F13)*H13*I13)</x:f>
      </x:c>
      <x:c r="K13" s="130" t="str">
        <x:f>IF(OR(D13="",E13="",G13="",H13="",I13=""),"",IF(UPPER(D13)="LONG",(G13-E13)*H13*I13,IF(UPPER(D13)="SHORT",(E13-G13)*H13*I13,"")))</x:f>
      </x:c>
      <x:c r="L13" s="126"/>
      <x:c r="M13" s="130" t="str">
        <x:f>IF(K13="","",K13-IF(L13="",0,L13))</x:f>
      </x:c>
      <x:c r="N13" s="134" t="str">
        <x:f>IF(OR(M13="",J13="",J13=0),"",M13/J13)</x:f>
      </x:c>
      <x:c r="O13" s="114"/>
      <x:c r="P13" s="114"/>
      <x:c r="Q13" s="114"/>
    </x:row>
    <x:row r="14" ht="24" customHeight="1">
      <x:c r="A14" s="122"/>
      <x:c r="B14" s="114"/>
      <x:c r="C14" s="114"/>
      <x:c r="D14" s="114"/>
      <x:c r="E14" s="126"/>
      <x:c r="F14" s="126"/>
      <x:c r="G14" s="126"/>
      <x:c r="H14" s="114"/>
      <x:c r="I14" s="126"/>
      <x:c r="J14" s="130" t="str">
        <x:f>IF(OR(E14="",F14="",H14="",I14=""),"",ABS(E14-F14)*H14*I14)</x:f>
      </x:c>
      <x:c r="K14" s="130" t="str">
        <x:f>IF(OR(D14="",E14="",G14="",H14="",I14=""),"",IF(UPPER(D14)="LONG",(G14-E14)*H14*I14,IF(UPPER(D14)="SHORT",(E14-G14)*H14*I14,"")))</x:f>
      </x:c>
      <x:c r="L14" s="126"/>
      <x:c r="M14" s="130" t="str">
        <x:f>IF(K14="","",K14-IF(L14="",0,L14))</x:f>
      </x:c>
      <x:c r="N14" s="134" t="str">
        <x:f>IF(OR(M14="",J14="",J14=0),"",M14/J14)</x:f>
      </x:c>
      <x:c r="O14" s="114"/>
      <x:c r="P14" s="114"/>
      <x:c r="Q14" s="114"/>
    </x:row>
    <x:row r="15" ht="24" customHeight="1">
      <x:c r="A15" s="122"/>
      <x:c r="B15" s="114"/>
      <x:c r="C15" s="114"/>
      <x:c r="D15" s="114"/>
      <x:c r="E15" s="126"/>
      <x:c r="F15" s="126"/>
      <x:c r="G15" s="126"/>
      <x:c r="H15" s="114"/>
      <x:c r="I15" s="126"/>
      <x:c r="J15" s="130" t="str">
        <x:f>IF(OR(E15="",F15="",H15="",I15=""),"",ABS(E15-F15)*H15*I15)</x:f>
      </x:c>
      <x:c r="K15" s="130" t="str">
        <x:f>IF(OR(D15="",E15="",G15="",H15="",I15=""),"",IF(UPPER(D15)="LONG",(G15-E15)*H15*I15,IF(UPPER(D15)="SHORT",(E15-G15)*H15*I15,"")))</x:f>
      </x:c>
      <x:c r="L15" s="126"/>
      <x:c r="M15" s="130" t="str">
        <x:f>IF(K15="","",K15-IF(L15="",0,L15))</x:f>
      </x:c>
      <x:c r="N15" s="134" t="str">
        <x:f>IF(OR(M15="",J15="",J15=0),"",M15/J15)</x:f>
      </x:c>
      <x:c r="O15" s="114"/>
      <x:c r="P15" s="114"/>
      <x:c r="Q15" s="114"/>
    </x:row>
    <x:row r="16" ht="24" customHeight="1">
      <x:c r="A16" s="122"/>
      <x:c r="B16" s="114"/>
      <x:c r="C16" s="114"/>
      <x:c r="D16" s="114"/>
      <x:c r="E16" s="126"/>
      <x:c r="F16" s="126"/>
      <x:c r="G16" s="126"/>
      <x:c r="H16" s="114"/>
      <x:c r="I16" s="126"/>
      <x:c r="J16" s="130" t="str">
        <x:f>IF(OR(E16="",F16="",H16="",I16=""),"",ABS(E16-F16)*H16*I16)</x:f>
      </x:c>
      <x:c r="K16" s="130" t="str">
        <x:f>IF(OR(D16="",E16="",G16="",H16="",I16=""),"",IF(UPPER(D16)="LONG",(G16-E16)*H16*I16,IF(UPPER(D16)="SHORT",(E16-G16)*H16*I16,"")))</x:f>
      </x:c>
      <x:c r="L16" s="126"/>
      <x:c r="M16" s="130" t="str">
        <x:f>IF(K16="","",K16-IF(L16="",0,L16))</x:f>
      </x:c>
      <x:c r="N16" s="134" t="str">
        <x:f>IF(OR(M16="",J16="",J16=0),"",M16/J16)</x:f>
      </x:c>
      <x:c r="O16" s="114"/>
      <x:c r="P16" s="114"/>
      <x:c r="Q16" s="114"/>
    </x:row>
    <x:row r="17" ht="24" customHeight="1">
      <x:c r="A17" s="122"/>
      <x:c r="B17" s="114"/>
      <x:c r="C17" s="114"/>
      <x:c r="D17" s="114"/>
      <x:c r="E17" s="126"/>
      <x:c r="F17" s="126"/>
      <x:c r="G17" s="126"/>
      <x:c r="H17" s="114"/>
      <x:c r="I17" s="126"/>
      <x:c r="J17" s="130" t="str">
        <x:f>IF(OR(E17="",F17="",H17="",I17=""),"",ABS(E17-F17)*H17*I17)</x:f>
      </x:c>
      <x:c r="K17" s="130" t="str">
        <x:f>IF(OR(D17="",E17="",G17="",H17="",I17=""),"",IF(UPPER(D17)="LONG",(G17-E17)*H17*I17,IF(UPPER(D17)="SHORT",(E17-G17)*H17*I17,"")))</x:f>
      </x:c>
      <x:c r="L17" s="126"/>
      <x:c r="M17" s="130" t="str">
        <x:f>IF(K17="","",K17-IF(L17="",0,L17))</x:f>
      </x:c>
      <x:c r="N17" s="134" t="str">
        <x:f>IF(OR(M17="",J17="",J17=0),"",M17/J17)</x:f>
      </x:c>
      <x:c r="O17" s="114"/>
      <x:c r="P17" s="114"/>
      <x:c r="Q17" s="114"/>
    </x:row>
    <x:row r="18" ht="24" customHeight="1">
      <x:c r="A18" s="122"/>
      <x:c r="B18" s="114"/>
      <x:c r="C18" s="114"/>
      <x:c r="D18" s="114"/>
      <x:c r="E18" s="126"/>
      <x:c r="F18" s="126"/>
      <x:c r="G18" s="126"/>
      <x:c r="H18" s="114"/>
      <x:c r="I18" s="126"/>
      <x:c r="J18" s="130" t="str">
        <x:f>IF(OR(E18="",F18="",H18="",I18=""),"",ABS(E18-F18)*H18*I18)</x:f>
      </x:c>
      <x:c r="K18" s="130" t="str">
        <x:f>IF(OR(D18="",E18="",G18="",H18="",I18=""),"",IF(UPPER(D18)="LONG",(G18-E18)*H18*I18,IF(UPPER(D18)="SHORT",(E18-G18)*H18*I18,"")))</x:f>
      </x:c>
      <x:c r="L18" s="126"/>
      <x:c r="M18" s="130" t="str">
        <x:f>IF(K18="","",K18-IF(L18="",0,L18))</x:f>
      </x:c>
      <x:c r="N18" s="134" t="str">
        <x:f>IF(OR(M18="",J18="",J18=0),"",M18/J18)</x:f>
      </x:c>
      <x:c r="O18" s="114"/>
      <x:c r="P18" s="114"/>
      <x:c r="Q18" s="114"/>
    </x:row>
    <x:row r="19" ht="24" customHeight="1">
      <x:c r="A19" s="122"/>
      <x:c r="B19" s="114"/>
      <x:c r="C19" s="114"/>
      <x:c r="D19" s="114"/>
      <x:c r="E19" s="126"/>
      <x:c r="F19" s="126"/>
      <x:c r="G19" s="126"/>
      <x:c r="H19" s="114"/>
      <x:c r="I19" s="126"/>
      <x:c r="J19" s="130" t="str">
        <x:f>IF(OR(E19="",F19="",H19="",I19=""),"",ABS(E19-F19)*H19*I19)</x:f>
      </x:c>
      <x:c r="K19" s="130" t="str">
        <x:f>IF(OR(D19="",E19="",G19="",H19="",I19=""),"",IF(UPPER(D19)="LONG",(G19-E19)*H19*I19,IF(UPPER(D19)="SHORT",(E19-G19)*H19*I19,"")))</x:f>
      </x:c>
      <x:c r="L19" s="126"/>
      <x:c r="M19" s="130" t="str">
        <x:f>IF(K19="","",K19-IF(L19="",0,L19))</x:f>
      </x:c>
      <x:c r="N19" s="134" t="str">
        <x:f>IF(OR(M19="",J19="",J19=0),"",M19/J19)</x:f>
      </x:c>
      <x:c r="O19" s="114"/>
      <x:c r="P19" s="114"/>
      <x:c r="Q19" s="114"/>
    </x:row>
    <x:row r="20" ht="24" customHeight="1">
      <x:c r="A20" s="122"/>
      <x:c r="B20" s="114"/>
      <x:c r="C20" s="114"/>
      <x:c r="D20" s="114"/>
      <x:c r="E20" s="126"/>
      <x:c r="F20" s="126"/>
      <x:c r="G20" s="126"/>
      <x:c r="H20" s="114"/>
      <x:c r="I20" s="126"/>
      <x:c r="J20" s="130" t="str">
        <x:f>IF(OR(E20="",F20="",H20="",I20=""),"",ABS(E20-F20)*H20*I20)</x:f>
      </x:c>
      <x:c r="K20" s="130" t="str">
        <x:f>IF(OR(D20="",E20="",G20="",H20="",I20=""),"",IF(UPPER(D20)="LONG",(G20-E20)*H20*I20,IF(UPPER(D20)="SHORT",(E20-G20)*H20*I20,"")))</x:f>
      </x:c>
      <x:c r="L20" s="126"/>
      <x:c r="M20" s="130" t="str">
        <x:f>IF(K20="","",K20-IF(L20="",0,L20))</x:f>
      </x:c>
      <x:c r="N20" s="134" t="str">
        <x:f>IF(OR(M20="",J20="",J20=0),"",M20/J20)</x:f>
      </x:c>
      <x:c r="O20" s="114"/>
      <x:c r="P20" s="114"/>
      <x:c r="Q20" s="114"/>
    </x:row>
    <x:row r="21" ht="24" customHeight="1">
      <x:c r="A21" s="122"/>
      <x:c r="B21" s="114"/>
      <x:c r="C21" s="114"/>
      <x:c r="D21" s="114"/>
      <x:c r="E21" s="126"/>
      <x:c r="F21" s="126"/>
      <x:c r="G21" s="126"/>
      <x:c r="H21" s="114"/>
      <x:c r="I21" s="126"/>
      <x:c r="J21" s="130" t="str">
        <x:f>IF(OR(E21="",F21="",H21="",I21=""),"",ABS(E21-F21)*H21*I21)</x:f>
      </x:c>
      <x:c r="K21" s="130" t="str">
        <x:f>IF(OR(D21="",E21="",G21="",H21="",I21=""),"",IF(UPPER(D21)="LONG",(G21-E21)*H21*I21,IF(UPPER(D21)="SHORT",(E21-G21)*H21*I21,"")))</x:f>
      </x:c>
      <x:c r="L21" s="126"/>
      <x:c r="M21" s="130" t="str">
        <x:f>IF(K21="","",K21-IF(L21="",0,L21))</x:f>
      </x:c>
      <x:c r="N21" s="134" t="str">
        <x:f>IF(OR(M21="",J21="",J21=0),"",M21/J21)</x:f>
      </x:c>
      <x:c r="O21" s="114"/>
      <x:c r="P21" s="114"/>
      <x:c r="Q21" s="114"/>
    </x:row>
    <x:row r="22" ht="24" customHeight="1">
      <x:c r="A22" s="122"/>
      <x:c r="B22" s="114"/>
      <x:c r="C22" s="114"/>
      <x:c r="D22" s="114"/>
      <x:c r="E22" s="126"/>
      <x:c r="F22" s="126"/>
      <x:c r="G22" s="126"/>
      <x:c r="H22" s="114"/>
      <x:c r="I22" s="126"/>
      <x:c r="J22" s="130" t="str">
        <x:f>IF(OR(E22="",F22="",H22="",I22=""),"",ABS(E22-F22)*H22*I22)</x:f>
      </x:c>
      <x:c r="K22" s="130" t="str">
        <x:f>IF(OR(D22="",E22="",G22="",H22="",I22=""),"",IF(UPPER(D22)="LONG",(G22-E22)*H22*I22,IF(UPPER(D22)="SHORT",(E22-G22)*H22*I22,"")))</x:f>
      </x:c>
      <x:c r="L22" s="126"/>
      <x:c r="M22" s="130" t="str">
        <x:f>IF(K22="","",K22-IF(L22="",0,L22))</x:f>
      </x:c>
      <x:c r="N22" s="134" t="str">
        <x:f>IF(OR(M22="",J22="",J22=0),"",M22/J22)</x:f>
      </x:c>
      <x:c r="O22" s="114"/>
      <x:c r="P22" s="114"/>
      <x:c r="Q22" s="114"/>
    </x:row>
    <x:row r="23" ht="24" customHeight="1">
      <x:c r="A23" s="122"/>
      <x:c r="B23" s="114"/>
      <x:c r="C23" s="114"/>
      <x:c r="D23" s="114"/>
      <x:c r="E23" s="126"/>
      <x:c r="F23" s="126"/>
      <x:c r="G23" s="126"/>
      <x:c r="H23" s="114"/>
      <x:c r="I23" s="126"/>
      <x:c r="J23" s="130" t="str">
        <x:f>IF(OR(E23="",F23="",H23="",I23=""),"",ABS(E23-F23)*H23*I23)</x:f>
      </x:c>
      <x:c r="K23" s="130" t="str">
        <x:f>IF(OR(D23="",E23="",G23="",H23="",I23=""),"",IF(UPPER(D23)="LONG",(G23-E23)*H23*I23,IF(UPPER(D23)="SHORT",(E23-G23)*H23*I23,"")))</x:f>
      </x:c>
      <x:c r="L23" s="126"/>
      <x:c r="M23" s="130" t="str">
        <x:f>IF(K23="","",K23-IF(L23="",0,L23))</x:f>
      </x:c>
      <x:c r="N23" s="134" t="str">
        <x:f>IF(OR(M23="",J23="",J23=0),"",M23/J23)</x:f>
      </x:c>
      <x:c r="O23" s="114"/>
      <x:c r="P23" s="114"/>
      <x:c r="Q23" s="114"/>
    </x:row>
    <x:row r="24" ht="24" customHeight="1">
      <x:c r="A24" s="122"/>
      <x:c r="B24" s="114"/>
      <x:c r="C24" s="114"/>
      <x:c r="D24" s="114"/>
      <x:c r="E24" s="126"/>
      <x:c r="F24" s="126"/>
      <x:c r="G24" s="126"/>
      <x:c r="H24" s="114"/>
      <x:c r="I24" s="126"/>
      <x:c r="J24" s="130" t="str">
        <x:f>IF(OR(E24="",F24="",H24="",I24=""),"",ABS(E24-F24)*H24*I24)</x:f>
      </x:c>
      <x:c r="K24" s="130" t="str">
        <x:f>IF(OR(D24="",E24="",G24="",H24="",I24=""),"",IF(UPPER(D24)="LONG",(G24-E24)*H24*I24,IF(UPPER(D24)="SHORT",(E24-G24)*H24*I24,"")))</x:f>
      </x:c>
      <x:c r="L24" s="126"/>
      <x:c r="M24" s="130" t="str">
        <x:f>IF(K24="","",K24-IF(L24="",0,L24))</x:f>
      </x:c>
      <x:c r="N24" s="134" t="str">
        <x:f>IF(OR(M24="",J24="",J24=0),"",M24/J24)</x:f>
      </x:c>
      <x:c r="O24" s="114"/>
      <x:c r="P24" s="114"/>
      <x:c r="Q24" s="114"/>
    </x:row>
    <x:row r="25" ht="24" customHeight="1">
      <x:c r="A25" s="122"/>
      <x:c r="B25" s="114"/>
      <x:c r="C25" s="114"/>
      <x:c r="D25" s="114"/>
      <x:c r="E25" s="126"/>
      <x:c r="F25" s="126"/>
      <x:c r="G25" s="126"/>
      <x:c r="H25" s="114"/>
      <x:c r="I25" s="126"/>
      <x:c r="J25" s="130" t="str">
        <x:f>IF(OR(E25="",F25="",H25="",I25=""),"",ABS(E25-F25)*H25*I25)</x:f>
      </x:c>
      <x:c r="K25" s="130" t="str">
        <x:f>IF(OR(D25="",E25="",G25="",H25="",I25=""),"",IF(UPPER(D25)="LONG",(G25-E25)*H25*I25,IF(UPPER(D25)="SHORT",(E25-G25)*H25*I25,"")))</x:f>
      </x:c>
      <x:c r="L25" s="126"/>
      <x:c r="M25" s="130" t="str">
        <x:f>IF(K25="","",K25-IF(L25="",0,L25))</x:f>
      </x:c>
      <x:c r="N25" s="134" t="str">
        <x:f>IF(OR(M25="",J25="",J25=0),"",M25/J25)</x:f>
      </x:c>
      <x:c r="O25" s="114"/>
      <x:c r="P25" s="114"/>
      <x:c r="Q25" s="114"/>
    </x:row>
    <x:row r="26" ht="24" customHeight="1">
      <x:c r="A26" s="122"/>
      <x:c r="B26" s="114"/>
      <x:c r="C26" s="114"/>
      <x:c r="D26" s="114"/>
      <x:c r="E26" s="126"/>
      <x:c r="F26" s="126"/>
      <x:c r="G26" s="126"/>
      <x:c r="H26" s="114"/>
      <x:c r="I26" s="126"/>
      <x:c r="J26" s="130" t="str">
        <x:f>IF(OR(E26="",F26="",H26="",I26=""),"",ABS(E26-F26)*H26*I26)</x:f>
      </x:c>
      <x:c r="K26" s="130" t="str">
        <x:f>IF(OR(D26="",E26="",G26="",H26="",I26=""),"",IF(UPPER(D26)="LONG",(G26-E26)*H26*I26,IF(UPPER(D26)="SHORT",(E26-G26)*H26*I26,"")))</x:f>
      </x:c>
      <x:c r="L26" s="126"/>
      <x:c r="M26" s="130" t="str">
        <x:f>IF(K26="","",K26-IF(L26="",0,L26))</x:f>
      </x:c>
      <x:c r="N26" s="134" t="str">
        <x:f>IF(OR(M26="",J26="",J26=0),"",M26/J26)</x:f>
      </x:c>
      <x:c r="O26" s="114"/>
      <x:c r="P26" s="114"/>
      <x:c r="Q26" s="114"/>
    </x:row>
    <x:row r="27" ht="24" customHeight="1">
      <x:c r="A27" s="122"/>
      <x:c r="B27" s="114"/>
      <x:c r="C27" s="114"/>
      <x:c r="D27" s="114"/>
      <x:c r="E27" s="126"/>
      <x:c r="F27" s="126"/>
      <x:c r="G27" s="126"/>
      <x:c r="H27" s="114"/>
      <x:c r="I27" s="126"/>
      <x:c r="J27" s="130" t="str">
        <x:f>IF(OR(E27="",F27="",H27="",I27=""),"",ABS(E27-F27)*H27*I27)</x:f>
      </x:c>
      <x:c r="K27" s="130" t="str">
        <x:f>IF(OR(D27="",E27="",G27="",H27="",I27=""),"",IF(UPPER(D27)="LONG",(G27-E27)*H27*I27,IF(UPPER(D27)="SHORT",(E27-G27)*H27*I27,"")))</x:f>
      </x:c>
      <x:c r="L27" s="126"/>
      <x:c r="M27" s="130" t="str">
        <x:f>IF(K27="","",K27-IF(L27="",0,L27))</x:f>
      </x:c>
      <x:c r="N27" s="134" t="str">
        <x:f>IF(OR(M27="",J27="",J27=0),"",M27/J27)</x:f>
      </x:c>
      <x:c r="O27" s="114"/>
      <x:c r="P27" s="114"/>
      <x:c r="Q27" s="114"/>
    </x:row>
    <x:row r="28" ht="24" customHeight="1">
      <x:c r="A28" s="122"/>
      <x:c r="B28" s="114"/>
      <x:c r="C28" s="114"/>
      <x:c r="D28" s="114"/>
      <x:c r="E28" s="126"/>
      <x:c r="F28" s="126"/>
      <x:c r="G28" s="126"/>
      <x:c r="H28" s="114"/>
      <x:c r="I28" s="126"/>
      <x:c r="J28" s="130" t="str">
        <x:f>IF(OR(E28="",F28="",H28="",I28=""),"",ABS(E28-F28)*H28*I28)</x:f>
      </x:c>
      <x:c r="K28" s="130" t="str">
        <x:f>IF(OR(D28="",E28="",G28="",H28="",I28=""),"",IF(UPPER(D28)="LONG",(G28-E28)*H28*I28,IF(UPPER(D28)="SHORT",(E28-G28)*H28*I28,"")))</x:f>
      </x:c>
      <x:c r="L28" s="126"/>
      <x:c r="M28" s="130" t="str">
        <x:f>IF(K28="","",K28-IF(L28="",0,L28))</x:f>
      </x:c>
      <x:c r="N28" s="134" t="str">
        <x:f>IF(OR(M28="",J28="",J28=0),"",M28/J28)</x:f>
      </x:c>
      <x:c r="O28" s="114"/>
      <x:c r="P28" s="114"/>
      <x:c r="Q28" s="114"/>
    </x:row>
    <x:row r="29" ht="24" customHeight="1">
      <x:c r="A29" s="122"/>
      <x:c r="B29" s="114"/>
      <x:c r="C29" s="114"/>
      <x:c r="D29" s="114"/>
      <x:c r="E29" s="126"/>
      <x:c r="F29" s="126"/>
      <x:c r="G29" s="126"/>
      <x:c r="H29" s="114"/>
      <x:c r="I29" s="126"/>
      <x:c r="J29" s="130" t="str">
        <x:f>IF(OR(E29="",F29="",H29="",I29=""),"",ABS(E29-F29)*H29*I29)</x:f>
      </x:c>
      <x:c r="K29" s="130" t="str">
        <x:f>IF(OR(D29="",E29="",G29="",H29="",I29=""),"",IF(UPPER(D29)="LONG",(G29-E29)*H29*I29,IF(UPPER(D29)="SHORT",(E29-G29)*H29*I29,"")))</x:f>
      </x:c>
      <x:c r="L29" s="126"/>
      <x:c r="M29" s="130" t="str">
        <x:f>IF(K29="","",K29-IF(L29="",0,L29))</x:f>
      </x:c>
      <x:c r="N29" s="134" t="str">
        <x:f>IF(OR(M29="",J29="",J29=0),"",M29/J29)</x:f>
      </x:c>
      <x:c r="O29" s="114"/>
      <x:c r="P29" s="114"/>
      <x:c r="Q29" s="114"/>
    </x:row>
    <x:row r="30" ht="24" customHeight="1">
      <x:c r="A30" s="122"/>
      <x:c r="B30" s="114"/>
      <x:c r="C30" s="114"/>
      <x:c r="D30" s="114"/>
      <x:c r="E30" s="126"/>
      <x:c r="F30" s="126"/>
      <x:c r="G30" s="126"/>
      <x:c r="H30" s="114"/>
      <x:c r="I30" s="126"/>
      <x:c r="J30" s="130" t="str">
        <x:f>IF(OR(E30="",F30="",H30="",I30=""),"",ABS(E30-F30)*H30*I30)</x:f>
      </x:c>
      <x:c r="K30" s="130" t="str">
        <x:f>IF(OR(D30="",E30="",G30="",H30="",I30=""),"",IF(UPPER(D30)="LONG",(G30-E30)*H30*I30,IF(UPPER(D30)="SHORT",(E30-G30)*H30*I30,"")))</x:f>
      </x:c>
      <x:c r="L30" s="126"/>
      <x:c r="M30" s="130" t="str">
        <x:f>IF(K30="","",K30-IF(L30="",0,L30))</x:f>
      </x:c>
      <x:c r="N30" s="134" t="str">
        <x:f>IF(OR(M30="",J30="",J30=0),"",M30/J30)</x:f>
      </x:c>
      <x:c r="O30" s="114"/>
      <x:c r="P30" s="114"/>
      <x:c r="Q30" s="114"/>
    </x:row>
    <x:row r="31" ht="24" customHeight="1">
      <x:c r="A31" s="122"/>
      <x:c r="B31" s="114"/>
      <x:c r="C31" s="114"/>
      <x:c r="D31" s="114"/>
      <x:c r="E31" s="126"/>
      <x:c r="F31" s="126"/>
      <x:c r="G31" s="126"/>
      <x:c r="H31" s="114"/>
      <x:c r="I31" s="126"/>
      <x:c r="J31" s="130" t="str">
        <x:f>IF(OR(E31="",F31="",H31="",I31=""),"",ABS(E31-F31)*H31*I31)</x:f>
      </x:c>
      <x:c r="K31" s="130" t="str">
        <x:f>IF(OR(D31="",E31="",G31="",H31="",I31=""),"",IF(UPPER(D31)="LONG",(G31-E31)*H31*I31,IF(UPPER(D31)="SHORT",(E31-G31)*H31*I31,"")))</x:f>
      </x:c>
      <x:c r="L31" s="126"/>
      <x:c r="M31" s="130" t="str">
        <x:f>IF(K31="","",K31-IF(L31="",0,L31))</x:f>
      </x:c>
      <x:c r="N31" s="134" t="str">
        <x:f>IF(OR(M31="",J31="",J31=0),"",M31/J31)</x:f>
      </x:c>
      <x:c r="O31" s="114"/>
      <x:c r="P31" s="114"/>
      <x:c r="Q31" s="114"/>
    </x:row>
    <x:row r="32" ht="24" customHeight="1">
      <x:c r="A32" s="122"/>
      <x:c r="B32" s="114"/>
      <x:c r="C32" s="114"/>
      <x:c r="D32" s="114"/>
      <x:c r="E32" s="126"/>
      <x:c r="F32" s="126"/>
      <x:c r="G32" s="126"/>
      <x:c r="H32" s="114"/>
      <x:c r="I32" s="126"/>
      <x:c r="J32" s="130" t="str">
        <x:f>IF(OR(E32="",F32="",H32="",I32=""),"",ABS(E32-F32)*H32*I32)</x:f>
      </x:c>
      <x:c r="K32" s="130" t="str">
        <x:f>IF(OR(D32="",E32="",G32="",H32="",I32=""),"",IF(UPPER(D32)="LONG",(G32-E32)*H32*I32,IF(UPPER(D32)="SHORT",(E32-G32)*H32*I32,"")))</x:f>
      </x:c>
      <x:c r="L32" s="126"/>
      <x:c r="M32" s="130" t="str">
        <x:f>IF(K32="","",K32-IF(L32="",0,L32))</x:f>
      </x:c>
      <x:c r="N32" s="134" t="str">
        <x:f>IF(OR(M32="",J32="",J32=0),"",M32/J32)</x:f>
      </x:c>
      <x:c r="O32" s="114"/>
      <x:c r="P32" s="114"/>
      <x:c r="Q32" s="114"/>
    </x:row>
    <x:row r="33" ht="24" customHeight="1">
      <x:c r="A33" s="122"/>
      <x:c r="B33" s="114"/>
      <x:c r="C33" s="114"/>
      <x:c r="D33" s="114"/>
      <x:c r="E33" s="126"/>
      <x:c r="F33" s="126"/>
      <x:c r="G33" s="126"/>
      <x:c r="H33" s="114"/>
      <x:c r="I33" s="126"/>
      <x:c r="J33" s="130" t="str">
        <x:f>IF(OR(E33="",F33="",H33="",I33=""),"",ABS(E33-F33)*H33*I33)</x:f>
      </x:c>
      <x:c r="K33" s="130" t="str">
        <x:f>IF(OR(D33="",E33="",G33="",H33="",I33=""),"",IF(UPPER(D33)="LONG",(G33-E33)*H33*I33,IF(UPPER(D33)="SHORT",(E33-G33)*H33*I33,"")))</x:f>
      </x:c>
      <x:c r="L33" s="126"/>
      <x:c r="M33" s="130" t="str">
        <x:f>IF(K33="","",K33-IF(L33="",0,L33))</x:f>
      </x:c>
      <x:c r="N33" s="134" t="str">
        <x:f>IF(OR(M33="",J33="",J33=0),"",M33/J33)</x:f>
      </x:c>
      <x:c r="O33" s="114"/>
      <x:c r="P33" s="114"/>
      <x:c r="Q33" s="114"/>
    </x:row>
    <x:row r="34" ht="24" customHeight="1">
      <x:c r="A34" s="122"/>
      <x:c r="B34" s="114"/>
      <x:c r="C34" s="114"/>
      <x:c r="D34" s="114"/>
      <x:c r="E34" s="126"/>
      <x:c r="F34" s="126"/>
      <x:c r="G34" s="126"/>
      <x:c r="H34" s="114"/>
      <x:c r="I34" s="126"/>
      <x:c r="J34" s="130" t="str">
        <x:f>IF(OR(E34="",F34="",H34="",I34=""),"",ABS(E34-F34)*H34*I34)</x:f>
      </x:c>
      <x:c r="K34" s="130" t="str">
        <x:f>IF(OR(D34="",E34="",G34="",H34="",I34=""),"",IF(UPPER(D34)="LONG",(G34-E34)*H34*I34,IF(UPPER(D34)="SHORT",(E34-G34)*H34*I34,"")))</x:f>
      </x:c>
      <x:c r="L34" s="126"/>
      <x:c r="M34" s="130" t="str">
        <x:f>IF(K34="","",K34-IF(L34="",0,L34))</x:f>
      </x:c>
      <x:c r="N34" s="134" t="str">
        <x:f>IF(OR(M34="",J34="",J34=0),"",M34/J34)</x:f>
      </x:c>
      <x:c r="O34" s="114"/>
      <x:c r="P34" s="114"/>
      <x:c r="Q34" s="114"/>
    </x:row>
    <x:row r="35" ht="24" customHeight="1">
      <x:c r="A35" s="122"/>
      <x:c r="B35" s="114"/>
      <x:c r="C35" s="114"/>
      <x:c r="D35" s="114"/>
      <x:c r="E35" s="126"/>
      <x:c r="F35" s="126"/>
      <x:c r="G35" s="126"/>
      <x:c r="H35" s="114"/>
      <x:c r="I35" s="126"/>
      <x:c r="J35" s="130" t="str">
        <x:f>IF(OR(E35="",F35="",H35="",I35=""),"",ABS(E35-F35)*H35*I35)</x:f>
      </x:c>
      <x:c r="K35" s="130" t="str">
        <x:f>IF(OR(D35="",E35="",G35="",H35="",I35=""),"",IF(UPPER(D35)="LONG",(G35-E35)*H35*I35,IF(UPPER(D35)="SHORT",(E35-G35)*H35*I35,"")))</x:f>
      </x:c>
      <x:c r="L35" s="126"/>
      <x:c r="M35" s="130" t="str">
        <x:f>IF(K35="","",K35-IF(L35="",0,L35))</x:f>
      </x:c>
      <x:c r="N35" s="134" t="str">
        <x:f>IF(OR(M35="",J35="",J35=0),"",M35/J35)</x:f>
      </x:c>
      <x:c r="O35" s="114"/>
      <x:c r="P35" s="114"/>
      <x:c r="Q35" s="114"/>
    </x:row>
    <x:row r="36" ht="24" customHeight="1">
      <x:c r="A36" s="122"/>
      <x:c r="B36" s="114"/>
      <x:c r="C36" s="114"/>
      <x:c r="D36" s="114"/>
      <x:c r="E36" s="126"/>
      <x:c r="F36" s="126"/>
      <x:c r="G36" s="126"/>
      <x:c r="H36" s="114"/>
      <x:c r="I36" s="126"/>
      <x:c r="J36" s="130" t="str">
        <x:f>IF(OR(E36="",F36="",H36="",I36=""),"",ABS(E36-F36)*H36*I36)</x:f>
      </x:c>
      <x:c r="K36" s="130" t="str">
        <x:f>IF(OR(D36="",E36="",G36="",H36="",I36=""),"",IF(UPPER(D36)="LONG",(G36-E36)*H36*I36,IF(UPPER(D36)="SHORT",(E36-G36)*H36*I36,"")))</x:f>
      </x:c>
      <x:c r="L36" s="126"/>
      <x:c r="M36" s="130" t="str">
        <x:f>IF(K36="","",K36-IF(L36="",0,L36))</x:f>
      </x:c>
      <x:c r="N36" s="134" t="str">
        <x:f>IF(OR(M36="",J36="",J36=0),"",M36/J36)</x:f>
      </x:c>
      <x:c r="O36" s="114"/>
      <x:c r="P36" s="114"/>
      <x:c r="Q36" s="114"/>
    </x:row>
    <x:row r="37" ht="24" customHeight="1">
      <x:c r="A37" s="122"/>
      <x:c r="B37" s="114"/>
      <x:c r="C37" s="114"/>
      <x:c r="D37" s="114"/>
      <x:c r="E37" s="126"/>
      <x:c r="F37" s="126"/>
      <x:c r="G37" s="126"/>
      <x:c r="H37" s="114"/>
      <x:c r="I37" s="126"/>
      <x:c r="J37" s="130" t="str">
        <x:f>IF(OR(E37="",F37="",H37="",I37=""),"",ABS(E37-F37)*H37*I37)</x:f>
      </x:c>
      <x:c r="K37" s="130" t="str">
        <x:f>IF(OR(D37="",E37="",G37="",H37="",I37=""),"",IF(UPPER(D37)="LONG",(G37-E37)*H37*I37,IF(UPPER(D37)="SHORT",(E37-G37)*H37*I37,"")))</x:f>
      </x:c>
      <x:c r="L37" s="126"/>
      <x:c r="M37" s="130" t="str">
        <x:f>IF(K37="","",K37-IF(L37="",0,L37))</x:f>
      </x:c>
      <x:c r="N37" s="134" t="str">
        <x:f>IF(OR(M37="",J37="",J37=0),"",M37/J37)</x:f>
      </x:c>
      <x:c r="O37" s="114"/>
      <x:c r="P37" s="114"/>
      <x:c r="Q37" s="114"/>
    </x:row>
    <x:row r="38" ht="24" customHeight="1">
      <x:c r="A38" s="122"/>
      <x:c r="B38" s="114"/>
      <x:c r="C38" s="114"/>
      <x:c r="D38" s="114"/>
      <x:c r="E38" s="126"/>
      <x:c r="F38" s="126"/>
      <x:c r="G38" s="126"/>
      <x:c r="H38" s="114"/>
      <x:c r="I38" s="126"/>
      <x:c r="J38" s="130" t="str">
        <x:f>IF(OR(E38="",F38="",H38="",I38=""),"",ABS(E38-F38)*H38*I38)</x:f>
      </x:c>
      <x:c r="K38" s="130" t="str">
        <x:f>IF(OR(D38="",E38="",G38="",H38="",I38=""),"",IF(UPPER(D38)="LONG",(G38-E38)*H38*I38,IF(UPPER(D38)="SHORT",(E38-G38)*H38*I38,"")))</x:f>
      </x:c>
      <x:c r="L38" s="126"/>
      <x:c r="M38" s="130" t="str">
        <x:f>IF(K38="","",K38-IF(L38="",0,L38))</x:f>
      </x:c>
      <x:c r="N38" s="134" t="str">
        <x:f>IF(OR(M38="",J38="",J38=0),"",M38/J38)</x:f>
      </x:c>
      <x:c r="O38" s="114"/>
      <x:c r="P38" s="114"/>
      <x:c r="Q38" s="114"/>
    </x:row>
    <x:row r="39" ht="24" customHeight="1">
      <x:c r="A39" s="122"/>
      <x:c r="B39" s="114"/>
      <x:c r="C39" s="114"/>
      <x:c r="D39" s="114"/>
      <x:c r="E39" s="126"/>
      <x:c r="F39" s="126"/>
      <x:c r="G39" s="126"/>
      <x:c r="H39" s="114"/>
      <x:c r="I39" s="126"/>
      <x:c r="J39" s="130" t="str">
        <x:f>IF(OR(E39="",F39="",H39="",I39=""),"",ABS(E39-F39)*H39*I39)</x:f>
      </x:c>
      <x:c r="K39" s="130" t="str">
        <x:f>IF(OR(D39="",E39="",G39="",H39="",I39=""),"",IF(UPPER(D39)="LONG",(G39-E39)*H39*I39,IF(UPPER(D39)="SHORT",(E39-G39)*H39*I39,"")))</x:f>
      </x:c>
      <x:c r="L39" s="126"/>
      <x:c r="M39" s="130" t="str">
        <x:f>IF(K39="","",K39-IF(L39="",0,L39))</x:f>
      </x:c>
      <x:c r="N39" s="134" t="str">
        <x:f>IF(OR(M39="",J39="",J39=0),"",M39/J39)</x:f>
      </x:c>
      <x:c r="O39" s="114"/>
      <x:c r="P39" s="114"/>
      <x:c r="Q39" s="114"/>
    </x:row>
    <x:row r="40" ht="24" customHeight="1">
      <x:c r="A40" s="122"/>
      <x:c r="B40" s="114"/>
      <x:c r="C40" s="114"/>
      <x:c r="D40" s="114"/>
      <x:c r="E40" s="126"/>
      <x:c r="F40" s="126"/>
      <x:c r="G40" s="126"/>
      <x:c r="H40" s="114"/>
      <x:c r="I40" s="126"/>
      <x:c r="J40" s="130" t="str">
        <x:f>IF(OR(E40="",F40="",H40="",I40=""),"",ABS(E40-F40)*H40*I40)</x:f>
      </x:c>
      <x:c r="K40" s="130" t="str">
        <x:f>IF(OR(D40="",E40="",G40="",H40="",I40=""),"",IF(UPPER(D40)="LONG",(G40-E40)*H40*I40,IF(UPPER(D40)="SHORT",(E40-G40)*H40*I40,"")))</x:f>
      </x:c>
      <x:c r="L40" s="126"/>
      <x:c r="M40" s="130" t="str">
        <x:f>IF(K40="","",K40-IF(L40="",0,L40))</x:f>
      </x:c>
      <x:c r="N40" s="134" t="str">
        <x:f>IF(OR(M40="",J40="",J40=0),"",M40/J40)</x:f>
      </x:c>
      <x:c r="O40" s="114"/>
      <x:c r="P40" s="114"/>
      <x:c r="Q40" s="114"/>
    </x:row>
    <x:row r="41" ht="24" customHeight="1">
      <x:c r="A41" s="122"/>
      <x:c r="B41" s="114"/>
      <x:c r="C41" s="114"/>
      <x:c r="D41" s="114"/>
      <x:c r="E41" s="126"/>
      <x:c r="F41" s="126"/>
      <x:c r="G41" s="126"/>
      <x:c r="H41" s="114"/>
      <x:c r="I41" s="126"/>
      <x:c r="J41" s="130" t="str">
        <x:f>IF(OR(E41="",F41="",H41="",I41=""),"",ABS(E41-F41)*H41*I41)</x:f>
      </x:c>
      <x:c r="K41" s="130" t="str">
        <x:f>IF(OR(D41="",E41="",G41="",H41="",I41=""),"",IF(UPPER(D41)="LONG",(G41-E41)*H41*I41,IF(UPPER(D41)="SHORT",(E41-G41)*H41*I41,"")))</x:f>
      </x:c>
      <x:c r="L41" s="126"/>
      <x:c r="M41" s="130" t="str">
        <x:f>IF(K41="","",K41-IF(L41="",0,L41))</x:f>
      </x:c>
      <x:c r="N41" s="134" t="str">
        <x:f>IF(OR(M41="",J41="",J41=0),"",M41/J41)</x:f>
      </x:c>
      <x:c r="O41" s="114"/>
      <x:c r="P41" s="114"/>
      <x:c r="Q41" s="114"/>
    </x:row>
    <x:row r="42" ht="24" customHeight="1">
      <x:c r="A42" s="122"/>
      <x:c r="B42" s="114"/>
      <x:c r="C42" s="114"/>
      <x:c r="D42" s="114"/>
      <x:c r="E42" s="126"/>
      <x:c r="F42" s="126"/>
      <x:c r="G42" s="126"/>
      <x:c r="H42" s="114"/>
      <x:c r="I42" s="126"/>
      <x:c r="J42" s="130" t="str">
        <x:f>IF(OR(E42="",F42="",H42="",I42=""),"",ABS(E42-F42)*H42*I42)</x:f>
      </x:c>
      <x:c r="K42" s="130" t="str">
        <x:f>IF(OR(D42="",E42="",G42="",H42="",I42=""),"",IF(UPPER(D42)="LONG",(G42-E42)*H42*I42,IF(UPPER(D42)="SHORT",(E42-G42)*H42*I42,"")))</x:f>
      </x:c>
      <x:c r="L42" s="126"/>
      <x:c r="M42" s="130" t="str">
        <x:f>IF(K42="","",K42-IF(L42="",0,L42))</x:f>
      </x:c>
      <x:c r="N42" s="134" t="str">
        <x:f>IF(OR(M42="",J42="",J42=0),"",M42/J42)</x:f>
      </x:c>
      <x:c r="O42" s="114"/>
      <x:c r="P42" s="114"/>
      <x:c r="Q42" s="114"/>
    </x:row>
    <x:row r="43" ht="24" customHeight="1">
      <x:c r="A43" s="122"/>
      <x:c r="B43" s="114"/>
      <x:c r="C43" s="114"/>
      <x:c r="D43" s="114"/>
      <x:c r="E43" s="126"/>
      <x:c r="F43" s="126"/>
      <x:c r="G43" s="126"/>
      <x:c r="H43" s="114"/>
      <x:c r="I43" s="126"/>
      <x:c r="J43" s="130" t="str">
        <x:f>IF(OR(E43="",F43="",H43="",I43=""),"",ABS(E43-F43)*H43*I43)</x:f>
      </x:c>
      <x:c r="K43" s="130" t="str">
        <x:f>IF(OR(D43="",E43="",G43="",H43="",I43=""),"",IF(UPPER(D43)="LONG",(G43-E43)*H43*I43,IF(UPPER(D43)="SHORT",(E43-G43)*H43*I43,"")))</x:f>
      </x:c>
      <x:c r="L43" s="126"/>
      <x:c r="M43" s="130" t="str">
        <x:f>IF(K43="","",K43-IF(L43="",0,L43))</x:f>
      </x:c>
      <x:c r="N43" s="134" t="str">
        <x:f>IF(OR(M43="",J43="",J43=0),"",M43/J43)</x:f>
      </x:c>
      <x:c r="O43" s="114"/>
      <x:c r="P43" s="114"/>
      <x:c r="Q43" s="114"/>
    </x:row>
    <x:row r="44" ht="24" customHeight="1">
      <x:c r="A44" s="122"/>
      <x:c r="B44" s="114"/>
      <x:c r="C44" s="114"/>
      <x:c r="D44" s="114"/>
      <x:c r="E44" s="126"/>
      <x:c r="F44" s="126"/>
      <x:c r="G44" s="126"/>
      <x:c r="H44" s="114"/>
      <x:c r="I44" s="126"/>
      <x:c r="J44" s="130" t="str">
        <x:f>IF(OR(E44="",F44="",H44="",I44=""),"",ABS(E44-F44)*H44*I44)</x:f>
      </x:c>
      <x:c r="K44" s="130" t="str">
        <x:f>IF(OR(D44="",E44="",G44="",H44="",I44=""),"",IF(UPPER(D44)="LONG",(G44-E44)*H44*I44,IF(UPPER(D44)="SHORT",(E44-G44)*H44*I44,"")))</x:f>
      </x:c>
      <x:c r="L44" s="126"/>
      <x:c r="M44" s="130" t="str">
        <x:f>IF(K44="","",K44-IF(L44="",0,L44))</x:f>
      </x:c>
      <x:c r="N44" s="134" t="str">
        <x:f>IF(OR(M44="",J44="",J44=0),"",M44/J44)</x:f>
      </x:c>
      <x:c r="O44" s="114"/>
      <x:c r="P44" s="114"/>
      <x:c r="Q44" s="114"/>
    </x:row>
    <x:row r="45" ht="24" customHeight="1">
      <x:c r="A45" s="122"/>
      <x:c r="B45" s="114"/>
      <x:c r="C45" s="114"/>
      <x:c r="D45" s="114"/>
      <x:c r="E45" s="126"/>
      <x:c r="F45" s="126"/>
      <x:c r="G45" s="126"/>
      <x:c r="H45" s="114"/>
      <x:c r="I45" s="126"/>
      <x:c r="J45" s="130" t="str">
        <x:f>IF(OR(E45="",F45="",H45="",I45=""),"",ABS(E45-F45)*H45*I45)</x:f>
      </x:c>
      <x:c r="K45" s="130" t="str">
        <x:f>IF(OR(D45="",E45="",G45="",H45="",I45=""),"",IF(UPPER(D45)="LONG",(G45-E45)*H45*I45,IF(UPPER(D45)="SHORT",(E45-G45)*H45*I45,"")))</x:f>
      </x:c>
      <x:c r="L45" s="126"/>
      <x:c r="M45" s="130" t="str">
        <x:f>IF(K45="","",K45-IF(L45="",0,L45))</x:f>
      </x:c>
      <x:c r="N45" s="134" t="str">
        <x:f>IF(OR(M45="",J45="",J45=0),"",M45/J45)</x:f>
      </x:c>
      <x:c r="O45" s="114"/>
      <x:c r="P45" s="114"/>
      <x:c r="Q45" s="114"/>
    </x:row>
    <x:row r="46" ht="24" customHeight="1">
      <x:c r="A46" s="122"/>
      <x:c r="B46" s="114"/>
      <x:c r="C46" s="114"/>
      <x:c r="D46" s="114"/>
      <x:c r="E46" s="126"/>
      <x:c r="F46" s="126"/>
      <x:c r="G46" s="126"/>
      <x:c r="H46" s="114"/>
      <x:c r="I46" s="126"/>
      <x:c r="J46" s="130" t="str">
        <x:f>IF(OR(E46="",F46="",H46="",I46=""),"",ABS(E46-F46)*H46*I46)</x:f>
      </x:c>
      <x:c r="K46" s="130" t="str">
        <x:f>IF(OR(D46="",E46="",G46="",H46="",I46=""),"",IF(UPPER(D46)="LONG",(G46-E46)*H46*I46,IF(UPPER(D46)="SHORT",(E46-G46)*H46*I46,"")))</x:f>
      </x:c>
      <x:c r="L46" s="126"/>
      <x:c r="M46" s="130" t="str">
        <x:f>IF(K46="","",K46-IF(L46="",0,L46))</x:f>
      </x:c>
      <x:c r="N46" s="134" t="str">
        <x:f>IF(OR(M46="",J46="",J46=0),"",M46/J46)</x:f>
      </x:c>
      <x:c r="O46" s="114"/>
      <x:c r="P46" s="114"/>
      <x:c r="Q46" s="114"/>
    </x:row>
    <x:row r="47" ht="24" customHeight="1">
      <x:c r="A47" s="122"/>
      <x:c r="B47" s="114"/>
      <x:c r="C47" s="114"/>
      <x:c r="D47" s="114"/>
      <x:c r="E47" s="126"/>
      <x:c r="F47" s="126"/>
      <x:c r="G47" s="126"/>
      <x:c r="H47" s="114"/>
      <x:c r="I47" s="126"/>
      <x:c r="J47" s="130" t="str">
        <x:f>IF(OR(E47="",F47="",H47="",I47=""),"",ABS(E47-F47)*H47*I47)</x:f>
      </x:c>
      <x:c r="K47" s="130" t="str">
        <x:f>IF(OR(D47="",E47="",G47="",H47="",I47=""),"",IF(UPPER(D47)="LONG",(G47-E47)*H47*I47,IF(UPPER(D47)="SHORT",(E47-G47)*H47*I47,"")))</x:f>
      </x:c>
      <x:c r="L47" s="126"/>
      <x:c r="M47" s="130" t="str">
        <x:f>IF(K47="","",K47-IF(L47="",0,L47))</x:f>
      </x:c>
      <x:c r="N47" s="134" t="str">
        <x:f>IF(OR(M47="",J47="",J47=0),"",M47/J47)</x:f>
      </x:c>
      <x:c r="O47" s="114"/>
      <x:c r="P47" s="114"/>
      <x:c r="Q47" s="114"/>
    </x:row>
    <x:row r="48" ht="24" customHeight="1">
      <x:c r="A48" s="122"/>
      <x:c r="B48" s="114"/>
      <x:c r="C48" s="114"/>
      <x:c r="D48" s="114"/>
      <x:c r="E48" s="126"/>
      <x:c r="F48" s="126"/>
      <x:c r="G48" s="126"/>
      <x:c r="H48" s="114"/>
      <x:c r="I48" s="126"/>
      <x:c r="J48" s="130" t="str">
        <x:f>IF(OR(E48="",F48="",H48="",I48=""),"",ABS(E48-F48)*H48*I48)</x:f>
      </x:c>
      <x:c r="K48" s="130" t="str">
        <x:f>IF(OR(D48="",E48="",G48="",H48="",I48=""),"",IF(UPPER(D48)="LONG",(G48-E48)*H48*I48,IF(UPPER(D48)="SHORT",(E48-G48)*H48*I48,"")))</x:f>
      </x:c>
      <x:c r="L48" s="126"/>
      <x:c r="M48" s="130" t="str">
        <x:f>IF(K48="","",K48-IF(L48="",0,L48))</x:f>
      </x:c>
      <x:c r="N48" s="134" t="str">
        <x:f>IF(OR(M48="",J48="",J48=0),"",M48/J48)</x:f>
      </x:c>
      <x:c r="O48" s="114"/>
      <x:c r="P48" s="114"/>
      <x:c r="Q48" s="114"/>
    </x:row>
    <x:row r="49" ht="24" customHeight="1">
      <x:c r="A49" s="122"/>
      <x:c r="B49" s="114"/>
      <x:c r="C49" s="114"/>
      <x:c r="D49" s="114"/>
      <x:c r="E49" s="126"/>
      <x:c r="F49" s="126"/>
      <x:c r="G49" s="126"/>
      <x:c r="H49" s="114"/>
      <x:c r="I49" s="126"/>
      <x:c r="J49" s="130" t="str">
        <x:f>IF(OR(E49="",F49="",H49="",I49=""),"",ABS(E49-F49)*H49*I49)</x:f>
      </x:c>
      <x:c r="K49" s="130" t="str">
        <x:f>IF(OR(D49="",E49="",G49="",H49="",I49=""),"",IF(UPPER(D49)="LONG",(G49-E49)*H49*I49,IF(UPPER(D49)="SHORT",(E49-G49)*H49*I49,"")))</x:f>
      </x:c>
      <x:c r="L49" s="126"/>
      <x:c r="M49" s="130" t="str">
        <x:f>IF(K49="","",K49-IF(L49="",0,L49))</x:f>
      </x:c>
      <x:c r="N49" s="134" t="str">
        <x:f>IF(OR(M49="",J49="",J49=0),"",M49/J49)</x:f>
      </x:c>
      <x:c r="O49" s="114"/>
      <x:c r="P49" s="114"/>
      <x:c r="Q49" s="114"/>
    </x:row>
    <x:row r="50" ht="24" customHeight="1">
      <x:c r="A50" s="122"/>
      <x:c r="B50" s="114"/>
      <x:c r="C50" s="114"/>
      <x:c r="D50" s="114"/>
      <x:c r="E50" s="126"/>
      <x:c r="F50" s="126"/>
      <x:c r="G50" s="126"/>
      <x:c r="H50" s="114"/>
      <x:c r="I50" s="126"/>
      <x:c r="J50" s="130" t="str">
        <x:f>IF(OR(E50="",F50="",H50="",I50=""),"",ABS(E50-F50)*H50*I50)</x:f>
      </x:c>
      <x:c r="K50" s="130" t="str">
        <x:f>IF(OR(D50="",E50="",G50="",H50="",I50=""),"",IF(UPPER(D50)="LONG",(G50-E50)*H50*I50,IF(UPPER(D50)="SHORT",(E50-G50)*H50*I50,"")))</x:f>
      </x:c>
      <x:c r="L50" s="126"/>
      <x:c r="M50" s="130" t="str">
        <x:f>IF(K50="","",K50-IF(L50="",0,L50))</x:f>
      </x:c>
      <x:c r="N50" s="134" t="str">
        <x:f>IF(OR(M50="",J50="",J50=0),"",M50/J50)</x:f>
      </x:c>
      <x:c r="O50" s="114"/>
      <x:c r="P50" s="114"/>
      <x:c r="Q50" s="114"/>
    </x:row>
    <x:row r="51" ht="24" customHeight="1">
      <x:c r="A51" s="122"/>
      <x:c r="B51" s="114"/>
      <x:c r="C51" s="114"/>
      <x:c r="D51" s="114"/>
      <x:c r="E51" s="126"/>
      <x:c r="F51" s="126"/>
      <x:c r="G51" s="126"/>
      <x:c r="H51" s="114"/>
      <x:c r="I51" s="126"/>
      <x:c r="J51" s="130" t="str">
        <x:f>IF(OR(E51="",F51="",H51="",I51=""),"",ABS(E51-F51)*H51*I51)</x:f>
      </x:c>
      <x:c r="K51" s="130" t="str">
        <x:f>IF(OR(D51="",E51="",G51="",H51="",I51=""),"",IF(UPPER(D51)="LONG",(G51-E51)*H51*I51,IF(UPPER(D51)="SHORT",(E51-G51)*H51*I51,"")))</x:f>
      </x:c>
      <x:c r="L51" s="126"/>
      <x:c r="M51" s="130" t="str">
        <x:f>IF(K51="","",K51-IF(L51="",0,L51))</x:f>
      </x:c>
      <x:c r="N51" s="134" t="str">
        <x:f>IF(OR(M51="",J51="",J51=0),"",M51/J51)</x:f>
      </x:c>
      <x:c r="O51" s="114"/>
      <x:c r="P51" s="114"/>
      <x:c r="Q51" s="114"/>
    </x:row>
    <x:row r="52" ht="24" customHeight="1">
      <x:c r="A52" s="122"/>
      <x:c r="B52" s="114"/>
      <x:c r="C52" s="114"/>
      <x:c r="D52" s="114"/>
      <x:c r="E52" s="126"/>
      <x:c r="F52" s="126"/>
      <x:c r="G52" s="126"/>
      <x:c r="H52" s="114"/>
      <x:c r="I52" s="126"/>
      <x:c r="J52" s="130" t="str">
        <x:f>IF(OR(E52="",F52="",H52="",I52=""),"",ABS(E52-F52)*H52*I52)</x:f>
      </x:c>
      <x:c r="K52" s="130" t="str">
        <x:f>IF(OR(D52="",E52="",G52="",H52="",I52=""),"",IF(UPPER(D52)="LONG",(G52-E52)*H52*I52,IF(UPPER(D52)="SHORT",(E52-G52)*H52*I52,"")))</x:f>
      </x:c>
      <x:c r="L52" s="126"/>
      <x:c r="M52" s="130" t="str">
        <x:f>IF(K52="","",K52-IF(L52="",0,L52))</x:f>
      </x:c>
      <x:c r="N52" s="134" t="str">
        <x:f>IF(OR(M52="",J52="",J52=0),"",M52/J52)</x:f>
      </x:c>
      <x:c r="O52" s="114"/>
      <x:c r="P52" s="114"/>
      <x:c r="Q52" s="114"/>
    </x:row>
    <x:row r="53" ht="24" customHeight="1">
      <x:c r="A53" s="122"/>
      <x:c r="B53" s="114"/>
      <x:c r="C53" s="114"/>
      <x:c r="D53" s="114"/>
      <x:c r="E53" s="126"/>
      <x:c r="F53" s="126"/>
      <x:c r="G53" s="126"/>
      <x:c r="H53" s="114"/>
      <x:c r="I53" s="126"/>
      <x:c r="J53" s="130" t="str">
        <x:f>IF(OR(E53="",F53="",H53="",I53=""),"",ABS(E53-F53)*H53*I53)</x:f>
      </x:c>
      <x:c r="K53" s="130" t="str">
        <x:f>IF(OR(D53="",E53="",G53="",H53="",I53=""),"",IF(UPPER(D53)="LONG",(G53-E53)*H53*I53,IF(UPPER(D53)="SHORT",(E53-G53)*H53*I53,"")))</x:f>
      </x:c>
      <x:c r="L53" s="126"/>
      <x:c r="M53" s="130" t="str">
        <x:f>IF(K53="","",K53-IF(L53="",0,L53))</x:f>
      </x:c>
      <x:c r="N53" s="134" t="str">
        <x:f>IF(OR(M53="",J53="",J53=0),"",M53/J53)</x:f>
      </x:c>
      <x:c r="O53" s="114"/>
      <x:c r="P53" s="114"/>
      <x:c r="Q53" s="114"/>
    </x:row>
    <x:row r="54" ht="24" customHeight="1">
      <x:c r="A54" s="122"/>
      <x:c r="B54" s="114"/>
      <x:c r="C54" s="114"/>
      <x:c r="D54" s="114"/>
      <x:c r="E54" s="126"/>
      <x:c r="F54" s="126"/>
      <x:c r="G54" s="126"/>
      <x:c r="H54" s="114"/>
      <x:c r="I54" s="126"/>
      <x:c r="J54" s="130" t="str">
        <x:f>IF(OR(E54="",F54="",H54="",I54=""),"",ABS(E54-F54)*H54*I54)</x:f>
      </x:c>
      <x:c r="K54" s="130" t="str">
        <x:f>IF(OR(D54="",E54="",G54="",H54="",I54=""),"",IF(UPPER(D54)="LONG",(G54-E54)*H54*I54,IF(UPPER(D54)="SHORT",(E54-G54)*H54*I54,"")))</x:f>
      </x:c>
      <x:c r="L54" s="126"/>
      <x:c r="M54" s="130" t="str">
        <x:f>IF(K54="","",K54-IF(L54="",0,L54))</x:f>
      </x:c>
      <x:c r="N54" s="134" t="str">
        <x:f>IF(OR(M54="",J54="",J54=0),"",M54/J54)</x:f>
      </x:c>
      <x:c r="O54" s="114"/>
      <x:c r="P54" s="114"/>
      <x:c r="Q54" s="114"/>
    </x:row>
    <x:row r="55" ht="24" customHeight="1">
      <x:c r="A55" s="122"/>
      <x:c r="B55" s="114"/>
      <x:c r="C55" s="114"/>
      <x:c r="D55" s="114"/>
      <x:c r="E55" s="126"/>
      <x:c r="F55" s="126"/>
      <x:c r="G55" s="126"/>
      <x:c r="H55" s="114"/>
      <x:c r="I55" s="126"/>
      <x:c r="J55" s="130" t="str">
        <x:f>IF(OR(E55="",F55="",H55="",I55=""),"",ABS(E55-F55)*H55*I55)</x:f>
      </x:c>
      <x:c r="K55" s="130" t="str">
        <x:f>IF(OR(D55="",E55="",G55="",H55="",I55=""),"",IF(UPPER(D55)="LONG",(G55-E55)*H55*I55,IF(UPPER(D55)="SHORT",(E55-G55)*H55*I55,"")))</x:f>
      </x:c>
      <x:c r="L55" s="126"/>
      <x:c r="M55" s="130" t="str">
        <x:f>IF(K55="","",K55-IF(L55="",0,L55))</x:f>
      </x:c>
      <x:c r="N55" s="134" t="str">
        <x:f>IF(OR(M55="",J55="",J55=0),"",M55/J55)</x:f>
      </x:c>
      <x:c r="O55" s="114"/>
      <x:c r="P55" s="114"/>
      <x:c r="Q55" s="114"/>
    </x:row>
    <x:row r="56" ht="24" customHeight="1">
      <x:c r="A56" s="122"/>
      <x:c r="B56" s="114"/>
      <x:c r="C56" s="114"/>
      <x:c r="D56" s="114"/>
      <x:c r="E56" s="126"/>
      <x:c r="F56" s="126"/>
      <x:c r="G56" s="126"/>
      <x:c r="H56" s="114"/>
      <x:c r="I56" s="126"/>
      <x:c r="J56" s="130" t="str">
        <x:f>IF(OR(E56="",F56="",H56="",I56=""),"",ABS(E56-F56)*H56*I56)</x:f>
      </x:c>
      <x:c r="K56" s="130" t="str">
        <x:f>IF(OR(D56="",E56="",G56="",H56="",I56=""),"",IF(UPPER(D56)="LONG",(G56-E56)*H56*I56,IF(UPPER(D56)="SHORT",(E56-G56)*H56*I56,"")))</x:f>
      </x:c>
      <x:c r="L56" s="126"/>
      <x:c r="M56" s="130" t="str">
        <x:f>IF(K56="","",K56-IF(L56="",0,L56))</x:f>
      </x:c>
      <x:c r="N56" s="134" t="str">
        <x:f>IF(OR(M56="",J56="",J56=0),"",M56/J56)</x:f>
      </x:c>
      <x:c r="O56" s="114"/>
      <x:c r="P56" s="114"/>
      <x:c r="Q56" s="114"/>
    </x:row>
    <x:row r="57" ht="24" customHeight="1">
      <x:c r="A57" s="122"/>
      <x:c r="B57" s="114"/>
      <x:c r="C57" s="114"/>
      <x:c r="D57" s="114"/>
      <x:c r="E57" s="126"/>
      <x:c r="F57" s="126"/>
      <x:c r="G57" s="126"/>
      <x:c r="H57" s="114"/>
      <x:c r="I57" s="126"/>
      <x:c r="J57" s="130" t="str">
        <x:f>IF(OR(E57="",F57="",H57="",I57=""),"",ABS(E57-F57)*H57*I57)</x:f>
      </x:c>
      <x:c r="K57" s="130" t="str">
        <x:f>IF(OR(D57="",E57="",G57="",H57="",I57=""),"",IF(UPPER(D57)="LONG",(G57-E57)*H57*I57,IF(UPPER(D57)="SHORT",(E57-G57)*H57*I57,"")))</x:f>
      </x:c>
      <x:c r="L57" s="126"/>
      <x:c r="M57" s="130" t="str">
        <x:f>IF(K57="","",K57-IF(L57="",0,L57))</x:f>
      </x:c>
      <x:c r="N57" s="134" t="str">
        <x:f>IF(OR(M57="",J57="",J57=0),"",M57/J57)</x:f>
      </x:c>
      <x:c r="O57" s="114"/>
      <x:c r="P57" s="114"/>
      <x:c r="Q57" s="114"/>
    </x:row>
    <x:row r="58" ht="24" customHeight="1">
      <x:c r="A58" s="122"/>
      <x:c r="B58" s="114"/>
      <x:c r="C58" s="114"/>
      <x:c r="D58" s="114"/>
      <x:c r="E58" s="126"/>
      <x:c r="F58" s="126"/>
      <x:c r="G58" s="126"/>
      <x:c r="H58" s="114"/>
      <x:c r="I58" s="126"/>
      <x:c r="J58" s="130" t="str">
        <x:f>IF(OR(E58="",F58="",H58="",I58=""),"",ABS(E58-F58)*H58*I58)</x:f>
      </x:c>
      <x:c r="K58" s="130" t="str">
        <x:f>IF(OR(D58="",E58="",G58="",H58="",I58=""),"",IF(UPPER(D58)="LONG",(G58-E58)*H58*I58,IF(UPPER(D58)="SHORT",(E58-G58)*H58*I58,"")))</x:f>
      </x:c>
      <x:c r="L58" s="126"/>
      <x:c r="M58" s="130" t="str">
        <x:f>IF(K58="","",K58-IF(L58="",0,L58))</x:f>
      </x:c>
      <x:c r="N58" s="134" t="str">
        <x:f>IF(OR(M58="",J58="",J58=0),"",M58/J58)</x:f>
      </x:c>
      <x:c r="O58" s="114"/>
      <x:c r="P58" s="114"/>
      <x:c r="Q58" s="114"/>
    </x:row>
    <x:row r="59" ht="24" customHeight="1">
      <x:c r="A59" s="122"/>
      <x:c r="B59" s="114"/>
      <x:c r="C59" s="114"/>
      <x:c r="D59" s="114"/>
      <x:c r="E59" s="126"/>
      <x:c r="F59" s="126"/>
      <x:c r="G59" s="126"/>
      <x:c r="H59" s="114"/>
      <x:c r="I59" s="126"/>
      <x:c r="J59" s="130" t="str">
        <x:f>IF(OR(E59="",F59="",H59="",I59=""),"",ABS(E59-F59)*H59*I59)</x:f>
      </x:c>
      <x:c r="K59" s="130" t="str">
        <x:f>IF(OR(D59="",E59="",G59="",H59="",I59=""),"",IF(UPPER(D59)="LONG",(G59-E59)*H59*I59,IF(UPPER(D59)="SHORT",(E59-G59)*H59*I59,"")))</x:f>
      </x:c>
      <x:c r="L59" s="126"/>
      <x:c r="M59" s="130" t="str">
        <x:f>IF(K59="","",K59-IF(L59="",0,L59))</x:f>
      </x:c>
      <x:c r="N59" s="134" t="str">
        <x:f>IF(OR(M59="",J59="",J59=0),"",M59/J59)</x:f>
      </x:c>
      <x:c r="O59" s="114"/>
      <x:c r="P59" s="114"/>
      <x:c r="Q59" s="114"/>
    </x:row>
    <x:row r="60" ht="24" customHeight="1">
      <x:c r="A60" s="122"/>
      <x:c r="B60" s="114"/>
      <x:c r="C60" s="114"/>
      <x:c r="D60" s="114"/>
      <x:c r="E60" s="126"/>
      <x:c r="F60" s="126"/>
      <x:c r="G60" s="126"/>
      <x:c r="H60" s="114"/>
      <x:c r="I60" s="126"/>
      <x:c r="J60" s="130" t="str">
        <x:f>IF(OR(E60="",F60="",H60="",I60=""),"",ABS(E60-F60)*H60*I60)</x:f>
      </x:c>
      <x:c r="K60" s="130" t="str">
        <x:f>IF(OR(D60="",E60="",G60="",H60="",I60=""),"",IF(UPPER(D60)="LONG",(G60-E60)*H60*I60,IF(UPPER(D60)="SHORT",(E60-G60)*H60*I60,"")))</x:f>
      </x:c>
      <x:c r="L60" s="126"/>
      <x:c r="M60" s="130" t="str">
        <x:f>IF(K60="","",K60-IF(L60="",0,L60))</x:f>
      </x:c>
      <x:c r="N60" s="134" t="str">
        <x:f>IF(OR(M60="",J60="",J60=0),"",M60/J60)</x:f>
      </x:c>
      <x:c r="O60" s="114"/>
      <x:c r="P60" s="114"/>
      <x:c r="Q60" s="114"/>
    </x:row>
    <x:row r="61" ht="24" customHeight="1">
      <x:c r="A61" s="122"/>
      <x:c r="B61" s="114"/>
      <x:c r="C61" s="114"/>
      <x:c r="D61" s="114"/>
      <x:c r="E61" s="126"/>
      <x:c r="F61" s="126"/>
      <x:c r="G61" s="126"/>
      <x:c r="H61" s="114"/>
      <x:c r="I61" s="126"/>
      <x:c r="J61" s="130" t="str">
        <x:f>IF(OR(E61="",F61="",H61="",I61=""),"",ABS(E61-F61)*H61*I61)</x:f>
      </x:c>
      <x:c r="K61" s="130" t="str">
        <x:f>IF(OR(D61="",E61="",G61="",H61="",I61=""),"",IF(UPPER(D61)="LONG",(G61-E61)*H61*I61,IF(UPPER(D61)="SHORT",(E61-G61)*H61*I61,"")))</x:f>
      </x:c>
      <x:c r="L61" s="126"/>
      <x:c r="M61" s="130" t="str">
        <x:f>IF(K61="","",K61-IF(L61="",0,L61))</x:f>
      </x:c>
      <x:c r="N61" s="134" t="str">
        <x:f>IF(OR(M61="",J61="",J61=0),"",M61/J61)</x:f>
      </x:c>
      <x:c r="O61" s="114"/>
      <x:c r="P61" s="114"/>
      <x:c r="Q61" s="114"/>
    </x:row>
    <x:row r="62" ht="24" customHeight="1">
      <x:c r="A62" s="122"/>
      <x:c r="B62" s="114"/>
      <x:c r="C62" s="114"/>
      <x:c r="D62" s="114"/>
      <x:c r="E62" s="126"/>
      <x:c r="F62" s="126"/>
      <x:c r="G62" s="126"/>
      <x:c r="H62" s="114"/>
      <x:c r="I62" s="126"/>
      <x:c r="J62" s="130" t="str">
        <x:f>IF(OR(E62="",F62="",H62="",I62=""),"",ABS(E62-F62)*H62*I62)</x:f>
      </x:c>
      <x:c r="K62" s="130" t="str">
        <x:f>IF(OR(D62="",E62="",G62="",H62="",I62=""),"",IF(UPPER(D62)="LONG",(G62-E62)*H62*I62,IF(UPPER(D62)="SHORT",(E62-G62)*H62*I62,"")))</x:f>
      </x:c>
      <x:c r="L62" s="126"/>
      <x:c r="M62" s="130" t="str">
        <x:f>IF(K62="","",K62-IF(L62="",0,L62))</x:f>
      </x:c>
      <x:c r="N62" s="134" t="str">
        <x:f>IF(OR(M62="",J62="",J62=0),"",M62/J62)</x:f>
      </x:c>
      <x:c r="O62" s="114"/>
      <x:c r="P62" s="114"/>
      <x:c r="Q62" s="114"/>
    </x:row>
    <x:row r="63" ht="24" customHeight="1">
      <x:c r="A63" s="122"/>
      <x:c r="B63" s="114"/>
      <x:c r="C63" s="114"/>
      <x:c r="D63" s="114"/>
      <x:c r="E63" s="126"/>
      <x:c r="F63" s="126"/>
      <x:c r="G63" s="126"/>
      <x:c r="H63" s="114"/>
      <x:c r="I63" s="126"/>
      <x:c r="J63" s="130" t="str">
        <x:f>IF(OR(E63="",F63="",H63="",I63=""),"",ABS(E63-F63)*H63*I63)</x:f>
      </x:c>
      <x:c r="K63" s="130" t="str">
        <x:f>IF(OR(D63="",E63="",G63="",H63="",I63=""),"",IF(UPPER(D63)="LONG",(G63-E63)*H63*I63,IF(UPPER(D63)="SHORT",(E63-G63)*H63*I63,"")))</x:f>
      </x:c>
      <x:c r="L63" s="126"/>
      <x:c r="M63" s="130" t="str">
        <x:f>IF(K63="","",K63-IF(L63="",0,L63))</x:f>
      </x:c>
      <x:c r="N63" s="134" t="str">
        <x:f>IF(OR(M63="",J63="",J63=0),"",M63/J63)</x:f>
      </x:c>
      <x:c r="O63" s="114"/>
      <x:c r="P63" s="114"/>
      <x:c r="Q63" s="114"/>
    </x:row>
    <x:row r="64" ht="24" customHeight="1">
      <x:c r="A64" s="122"/>
      <x:c r="B64" s="114"/>
      <x:c r="C64" s="114"/>
      <x:c r="D64" s="114"/>
      <x:c r="E64" s="126"/>
      <x:c r="F64" s="126"/>
      <x:c r="G64" s="126"/>
      <x:c r="H64" s="114"/>
      <x:c r="I64" s="126"/>
      <x:c r="J64" s="130" t="str">
        <x:f>IF(OR(E64="",F64="",H64="",I64=""),"",ABS(E64-F64)*H64*I64)</x:f>
      </x:c>
      <x:c r="K64" s="130" t="str">
        <x:f>IF(OR(D64="",E64="",G64="",H64="",I64=""),"",IF(UPPER(D64)="LONG",(G64-E64)*H64*I64,IF(UPPER(D64)="SHORT",(E64-G64)*H64*I64,"")))</x:f>
      </x:c>
      <x:c r="L64" s="126"/>
      <x:c r="M64" s="130" t="str">
        <x:f>IF(K64="","",K64-IF(L64="",0,L64))</x:f>
      </x:c>
      <x:c r="N64" s="134" t="str">
        <x:f>IF(OR(M64="",J64="",J64=0),"",M64/J64)</x:f>
      </x:c>
      <x:c r="O64" s="114"/>
      <x:c r="P64" s="114"/>
      <x:c r="Q64" s="114"/>
    </x:row>
    <x:row r="65" ht="24" customHeight="1">
      <x:c r="A65" s="122"/>
      <x:c r="B65" s="114"/>
      <x:c r="C65" s="114"/>
      <x:c r="D65" s="114"/>
      <x:c r="E65" s="126"/>
      <x:c r="F65" s="126"/>
      <x:c r="G65" s="126"/>
      <x:c r="H65" s="114"/>
      <x:c r="I65" s="126"/>
      <x:c r="J65" s="130" t="str">
        <x:f>IF(OR(E65="",F65="",H65="",I65=""),"",ABS(E65-F65)*H65*I65)</x:f>
      </x:c>
      <x:c r="K65" s="130" t="str">
        <x:f>IF(OR(D65="",E65="",G65="",H65="",I65=""),"",IF(UPPER(D65)="LONG",(G65-E65)*H65*I65,IF(UPPER(D65)="SHORT",(E65-G65)*H65*I65,"")))</x:f>
      </x:c>
      <x:c r="L65" s="126"/>
      <x:c r="M65" s="130" t="str">
        <x:f>IF(K65="","",K65-IF(L65="",0,L65))</x:f>
      </x:c>
      <x:c r="N65" s="134" t="str">
        <x:f>IF(OR(M65="",J65="",J65=0),"",M65/J65)</x:f>
      </x:c>
      <x:c r="O65" s="114"/>
      <x:c r="P65" s="114"/>
      <x:c r="Q65" s="114"/>
    </x:row>
    <x:row r="66" ht="24" customHeight="1">
      <x:c r="A66" s="122"/>
      <x:c r="B66" s="114"/>
      <x:c r="C66" s="114"/>
      <x:c r="D66" s="114"/>
      <x:c r="E66" s="126"/>
      <x:c r="F66" s="126"/>
      <x:c r="G66" s="126"/>
      <x:c r="H66" s="114"/>
      <x:c r="I66" s="126"/>
      <x:c r="J66" s="130" t="str">
        <x:f>IF(OR(E66="",F66="",H66="",I66=""),"",ABS(E66-F66)*H66*I66)</x:f>
      </x:c>
      <x:c r="K66" s="130" t="str">
        <x:f>IF(OR(D66="",E66="",G66="",H66="",I66=""),"",IF(UPPER(D66)="LONG",(G66-E66)*H66*I66,IF(UPPER(D66)="SHORT",(E66-G66)*H66*I66,"")))</x:f>
      </x:c>
      <x:c r="L66" s="126"/>
      <x:c r="M66" s="130" t="str">
        <x:f>IF(K66="","",K66-IF(L66="",0,L66))</x:f>
      </x:c>
      <x:c r="N66" s="134" t="str">
        <x:f>IF(OR(M66="",J66="",J66=0),"",M66/J66)</x:f>
      </x:c>
      <x:c r="O66" s="114"/>
      <x:c r="P66" s="114"/>
      <x:c r="Q66" s="114"/>
    </x:row>
    <x:row r="67" ht="24" customHeight="1">
      <x:c r="A67" s="122"/>
      <x:c r="B67" s="114"/>
      <x:c r="C67" s="114"/>
      <x:c r="D67" s="114"/>
      <x:c r="E67" s="126"/>
      <x:c r="F67" s="126"/>
      <x:c r="G67" s="126"/>
      <x:c r="H67" s="114"/>
      <x:c r="I67" s="126"/>
      <x:c r="J67" s="130" t="str">
        <x:f>IF(OR(E67="",F67="",H67="",I67=""),"",ABS(E67-F67)*H67*I67)</x:f>
      </x:c>
      <x:c r="K67" s="130" t="str">
        <x:f>IF(OR(D67="",E67="",G67="",H67="",I67=""),"",IF(UPPER(D67)="LONG",(G67-E67)*H67*I67,IF(UPPER(D67)="SHORT",(E67-G67)*H67*I67,"")))</x:f>
      </x:c>
      <x:c r="L67" s="126"/>
      <x:c r="M67" s="130" t="str">
        <x:f>IF(K67="","",K67-IF(L67="",0,L67))</x:f>
      </x:c>
      <x:c r="N67" s="134" t="str">
        <x:f>IF(OR(M67="",J67="",J67=0),"",M67/J67)</x:f>
      </x:c>
      <x:c r="O67" s="114"/>
      <x:c r="P67" s="114"/>
      <x:c r="Q67" s="114"/>
    </x:row>
    <x:row r="68" ht="24" customHeight="1">
      <x:c r="A68" s="122"/>
      <x:c r="B68" s="114"/>
      <x:c r="C68" s="114"/>
      <x:c r="D68" s="114"/>
      <x:c r="E68" s="126"/>
      <x:c r="F68" s="126"/>
      <x:c r="G68" s="126"/>
      <x:c r="H68" s="114"/>
      <x:c r="I68" s="126"/>
      <x:c r="J68" s="130" t="str">
        <x:f>IF(OR(E68="",F68="",H68="",I68=""),"",ABS(E68-F68)*H68*I68)</x:f>
      </x:c>
      <x:c r="K68" s="130" t="str">
        <x:f>IF(OR(D68="",E68="",G68="",H68="",I68=""),"",IF(UPPER(D68)="LONG",(G68-E68)*H68*I68,IF(UPPER(D68)="SHORT",(E68-G68)*H68*I68,"")))</x:f>
      </x:c>
      <x:c r="L68" s="126"/>
      <x:c r="M68" s="130" t="str">
        <x:f>IF(K68="","",K68-IF(L68="",0,L68))</x:f>
      </x:c>
      <x:c r="N68" s="134" t="str">
        <x:f>IF(OR(M68="",J68="",J68=0),"",M68/J68)</x:f>
      </x:c>
      <x:c r="O68" s="114"/>
      <x:c r="P68" s="114"/>
      <x:c r="Q68" s="114"/>
    </x:row>
    <x:row r="69" ht="24" customHeight="1">
      <x:c r="A69" s="122"/>
      <x:c r="B69" s="114"/>
      <x:c r="C69" s="114"/>
      <x:c r="D69" s="114"/>
      <x:c r="E69" s="126"/>
      <x:c r="F69" s="126"/>
      <x:c r="G69" s="126"/>
      <x:c r="H69" s="114"/>
      <x:c r="I69" s="126"/>
      <x:c r="J69" s="130" t="str">
        <x:f>IF(OR(E69="",F69="",H69="",I69=""),"",ABS(E69-F69)*H69*I69)</x:f>
      </x:c>
      <x:c r="K69" s="130" t="str">
        <x:f>IF(OR(D69="",E69="",G69="",H69="",I69=""),"",IF(UPPER(D69)="LONG",(G69-E69)*H69*I69,IF(UPPER(D69)="SHORT",(E69-G69)*H69*I69,"")))</x:f>
      </x:c>
      <x:c r="L69" s="126"/>
      <x:c r="M69" s="130" t="str">
        <x:f>IF(K69="","",K69-IF(L69="",0,L69))</x:f>
      </x:c>
      <x:c r="N69" s="134" t="str">
        <x:f>IF(OR(M69="",J69="",J69=0),"",M69/J69)</x:f>
      </x:c>
      <x:c r="O69" s="114"/>
      <x:c r="P69" s="114"/>
      <x:c r="Q69" s="114"/>
    </x:row>
    <x:row r="70" ht="24" customHeight="1">
      <x:c r="A70" s="122"/>
      <x:c r="B70" s="114"/>
      <x:c r="C70" s="114"/>
      <x:c r="D70" s="114"/>
      <x:c r="E70" s="126"/>
      <x:c r="F70" s="126"/>
      <x:c r="G70" s="126"/>
      <x:c r="H70" s="114"/>
      <x:c r="I70" s="126"/>
      <x:c r="J70" s="130" t="str">
        <x:f>IF(OR(E70="",F70="",H70="",I70=""),"",ABS(E70-F70)*H70*I70)</x:f>
      </x:c>
      <x:c r="K70" s="130" t="str">
        <x:f>IF(OR(D70="",E70="",G70="",H70="",I70=""),"",IF(UPPER(D70)="LONG",(G70-E70)*H70*I70,IF(UPPER(D70)="SHORT",(E70-G70)*H70*I70,"")))</x:f>
      </x:c>
      <x:c r="L70" s="126"/>
      <x:c r="M70" s="130" t="str">
        <x:f>IF(K70="","",K70-IF(L70="",0,L70))</x:f>
      </x:c>
      <x:c r="N70" s="134" t="str">
        <x:f>IF(OR(M70="",J70="",J70=0),"",M70/J70)</x:f>
      </x:c>
      <x:c r="O70" s="114"/>
      <x:c r="P70" s="114"/>
      <x:c r="Q70" s="114"/>
    </x:row>
    <x:row r="71" ht="24" customHeight="1">
      <x:c r="A71" s="122"/>
      <x:c r="B71" s="114"/>
      <x:c r="C71" s="114"/>
      <x:c r="D71" s="114"/>
      <x:c r="E71" s="126"/>
      <x:c r="F71" s="126"/>
      <x:c r="G71" s="126"/>
      <x:c r="H71" s="114"/>
      <x:c r="I71" s="126"/>
      <x:c r="J71" s="130" t="str">
        <x:f>IF(OR(E71="",F71="",H71="",I71=""),"",ABS(E71-F71)*H71*I71)</x:f>
      </x:c>
      <x:c r="K71" s="130" t="str">
        <x:f>IF(OR(D71="",E71="",G71="",H71="",I71=""),"",IF(UPPER(D71)="LONG",(G71-E71)*H71*I71,IF(UPPER(D71)="SHORT",(E71-G71)*H71*I71,"")))</x:f>
      </x:c>
      <x:c r="L71" s="126"/>
      <x:c r="M71" s="130" t="str">
        <x:f>IF(K71="","",K71-IF(L71="",0,L71))</x:f>
      </x:c>
      <x:c r="N71" s="134" t="str">
        <x:f>IF(OR(M71="",J71="",J71=0),"",M71/J71)</x:f>
      </x:c>
      <x:c r="O71" s="114"/>
      <x:c r="P71" s="114"/>
      <x:c r="Q71" s="114"/>
    </x:row>
    <x:row r="72" ht="24" customHeight="1">
      <x:c r="A72" s="122"/>
      <x:c r="B72" s="114"/>
      <x:c r="C72" s="114"/>
      <x:c r="D72" s="114"/>
      <x:c r="E72" s="126"/>
      <x:c r="F72" s="126"/>
      <x:c r="G72" s="126"/>
      <x:c r="H72" s="114"/>
      <x:c r="I72" s="126"/>
      <x:c r="J72" s="130" t="str">
        <x:f>IF(OR(E72="",F72="",H72="",I72=""),"",ABS(E72-F72)*H72*I72)</x:f>
      </x:c>
      <x:c r="K72" s="130" t="str">
        <x:f>IF(OR(D72="",E72="",G72="",H72="",I72=""),"",IF(UPPER(D72)="LONG",(G72-E72)*H72*I72,IF(UPPER(D72)="SHORT",(E72-G72)*H72*I72,"")))</x:f>
      </x:c>
      <x:c r="L72" s="126"/>
      <x:c r="M72" s="130" t="str">
        <x:f>IF(K72="","",K72-IF(L72="",0,L72))</x:f>
      </x:c>
      <x:c r="N72" s="134" t="str">
        <x:f>IF(OR(M72="",J72="",J72=0),"",M72/J72)</x:f>
      </x:c>
      <x:c r="O72" s="114"/>
      <x:c r="P72" s="114"/>
      <x:c r="Q72" s="114"/>
    </x:row>
    <x:row r="73" ht="24" customHeight="1">
      <x:c r="A73" s="122"/>
      <x:c r="B73" s="114"/>
      <x:c r="C73" s="114"/>
      <x:c r="D73" s="114"/>
      <x:c r="E73" s="126"/>
      <x:c r="F73" s="126"/>
      <x:c r="G73" s="126"/>
      <x:c r="H73" s="114"/>
      <x:c r="I73" s="126"/>
      <x:c r="J73" s="130" t="str">
        <x:f>IF(OR(E73="",F73="",H73="",I73=""),"",ABS(E73-F73)*H73*I73)</x:f>
      </x:c>
      <x:c r="K73" s="130" t="str">
        <x:f>IF(OR(D73="",E73="",G73="",H73="",I73=""),"",IF(UPPER(D73)="LONG",(G73-E73)*H73*I73,IF(UPPER(D73)="SHORT",(E73-G73)*H73*I73,"")))</x:f>
      </x:c>
      <x:c r="L73" s="126"/>
      <x:c r="M73" s="130" t="str">
        <x:f>IF(K73="","",K73-IF(L73="",0,L73))</x:f>
      </x:c>
      <x:c r="N73" s="134" t="str">
        <x:f>IF(OR(M73="",J73="",J73=0),"",M73/J73)</x:f>
      </x:c>
      <x:c r="O73" s="114"/>
      <x:c r="P73" s="114"/>
      <x:c r="Q73" s="114"/>
    </x:row>
    <x:row r="74" ht="24" customHeight="1">
      <x:c r="A74" s="122"/>
      <x:c r="B74" s="114"/>
      <x:c r="C74" s="114"/>
      <x:c r="D74" s="114"/>
      <x:c r="E74" s="126"/>
      <x:c r="F74" s="126"/>
      <x:c r="G74" s="126"/>
      <x:c r="H74" s="114"/>
      <x:c r="I74" s="126"/>
      <x:c r="J74" s="130" t="str">
        <x:f>IF(OR(E74="",F74="",H74="",I74=""),"",ABS(E74-F74)*H74*I74)</x:f>
      </x:c>
      <x:c r="K74" s="130" t="str">
        <x:f>IF(OR(D74="",E74="",G74="",H74="",I74=""),"",IF(UPPER(D74)="LONG",(G74-E74)*H74*I74,IF(UPPER(D74)="SHORT",(E74-G74)*H74*I74,"")))</x:f>
      </x:c>
      <x:c r="L74" s="126"/>
      <x:c r="M74" s="130" t="str">
        <x:f>IF(K74="","",K74-IF(L74="",0,L74))</x:f>
      </x:c>
      <x:c r="N74" s="134" t="str">
        <x:f>IF(OR(M74="",J74="",J74=0),"",M74/J74)</x:f>
      </x:c>
      <x:c r="O74" s="114"/>
      <x:c r="P74" s="114"/>
      <x:c r="Q74" s="114"/>
    </x:row>
    <x:row r="75" ht="24" customHeight="1">
      <x:c r="A75" s="122"/>
      <x:c r="B75" s="114"/>
      <x:c r="C75" s="114"/>
      <x:c r="D75" s="114"/>
      <x:c r="E75" s="126"/>
      <x:c r="F75" s="126"/>
      <x:c r="G75" s="126"/>
      <x:c r="H75" s="114"/>
      <x:c r="I75" s="126"/>
      <x:c r="J75" s="130" t="str">
        <x:f>IF(OR(E75="",F75="",H75="",I75=""),"",ABS(E75-F75)*H75*I75)</x:f>
      </x:c>
      <x:c r="K75" s="130" t="str">
        <x:f>IF(OR(D75="",E75="",G75="",H75="",I75=""),"",IF(UPPER(D75)="LONG",(G75-E75)*H75*I75,IF(UPPER(D75)="SHORT",(E75-G75)*H75*I75,"")))</x:f>
      </x:c>
      <x:c r="L75" s="126"/>
      <x:c r="M75" s="130" t="str">
        <x:f>IF(K75="","",K75-IF(L75="",0,L75))</x:f>
      </x:c>
      <x:c r="N75" s="134" t="str">
        <x:f>IF(OR(M75="",J75="",J75=0),"",M75/J75)</x:f>
      </x:c>
      <x:c r="O75" s="114"/>
      <x:c r="P75" s="114"/>
      <x:c r="Q75" s="114"/>
    </x:row>
    <x:row r="76" ht="24" customHeight="1">
      <x:c r="A76" s="122"/>
      <x:c r="B76" s="114"/>
      <x:c r="C76" s="114"/>
      <x:c r="D76" s="114"/>
      <x:c r="E76" s="126"/>
      <x:c r="F76" s="126"/>
      <x:c r="G76" s="126"/>
      <x:c r="H76" s="114"/>
      <x:c r="I76" s="126"/>
      <x:c r="J76" s="130" t="str">
        <x:f>IF(OR(E76="",F76="",H76="",I76=""),"",ABS(E76-F76)*H76*I76)</x:f>
      </x:c>
      <x:c r="K76" s="130" t="str">
        <x:f>IF(OR(D76="",E76="",G76="",H76="",I76=""),"",IF(UPPER(D76)="LONG",(G76-E76)*H76*I76,IF(UPPER(D76)="SHORT",(E76-G76)*H76*I76,"")))</x:f>
      </x:c>
      <x:c r="L76" s="126"/>
      <x:c r="M76" s="130" t="str">
        <x:f>IF(K76="","",K76-IF(L76="",0,L76))</x:f>
      </x:c>
      <x:c r="N76" s="134" t="str">
        <x:f>IF(OR(M76="",J76="",J76=0),"",M76/J76)</x:f>
      </x:c>
      <x:c r="O76" s="114"/>
      <x:c r="P76" s="114"/>
      <x:c r="Q76" s="114"/>
    </x:row>
    <x:row r="77" ht="24" customHeight="1">
      <x:c r="A77" s="122"/>
      <x:c r="B77" s="114"/>
      <x:c r="C77" s="114"/>
      <x:c r="D77" s="114"/>
      <x:c r="E77" s="126"/>
      <x:c r="F77" s="126"/>
      <x:c r="G77" s="126"/>
      <x:c r="H77" s="114"/>
      <x:c r="I77" s="126"/>
      <x:c r="J77" s="130" t="str">
        <x:f>IF(OR(E77="",F77="",H77="",I77=""),"",ABS(E77-F77)*H77*I77)</x:f>
      </x:c>
      <x:c r="K77" s="130" t="str">
        <x:f>IF(OR(D77="",E77="",G77="",H77="",I77=""),"",IF(UPPER(D77)="LONG",(G77-E77)*H77*I77,IF(UPPER(D77)="SHORT",(E77-G77)*H77*I77,"")))</x:f>
      </x:c>
      <x:c r="L77" s="126"/>
      <x:c r="M77" s="130" t="str">
        <x:f>IF(K77="","",K77-IF(L77="",0,L77))</x:f>
      </x:c>
      <x:c r="N77" s="134" t="str">
        <x:f>IF(OR(M77="",J77="",J77=0),"",M77/J77)</x:f>
      </x:c>
      <x:c r="O77" s="114"/>
      <x:c r="P77" s="114"/>
      <x:c r="Q77" s="114"/>
    </x:row>
    <x:row r="78" ht="24" customHeight="1">
      <x:c r="A78" s="122"/>
      <x:c r="B78" s="114"/>
      <x:c r="C78" s="114"/>
      <x:c r="D78" s="114"/>
      <x:c r="E78" s="126"/>
      <x:c r="F78" s="126"/>
      <x:c r="G78" s="126"/>
      <x:c r="H78" s="114"/>
      <x:c r="I78" s="126"/>
      <x:c r="J78" s="130" t="str">
        <x:f>IF(OR(E78="",F78="",H78="",I78=""),"",ABS(E78-F78)*H78*I78)</x:f>
      </x:c>
      <x:c r="K78" s="130" t="str">
        <x:f>IF(OR(D78="",E78="",G78="",H78="",I78=""),"",IF(UPPER(D78)="LONG",(G78-E78)*H78*I78,IF(UPPER(D78)="SHORT",(E78-G78)*H78*I78,"")))</x:f>
      </x:c>
      <x:c r="L78" s="126"/>
      <x:c r="M78" s="130" t="str">
        <x:f>IF(K78="","",K78-IF(L78="",0,L78))</x:f>
      </x:c>
      <x:c r="N78" s="134" t="str">
        <x:f>IF(OR(M78="",J78="",J78=0),"",M78/J78)</x:f>
      </x:c>
      <x:c r="O78" s="114"/>
      <x:c r="P78" s="114"/>
      <x:c r="Q78" s="114"/>
    </x:row>
    <x:row r="79" ht="24" customHeight="1">
      <x:c r="A79" s="122"/>
      <x:c r="B79" s="114"/>
      <x:c r="C79" s="114"/>
      <x:c r="D79" s="114"/>
      <x:c r="E79" s="126"/>
      <x:c r="F79" s="126"/>
      <x:c r="G79" s="126"/>
      <x:c r="H79" s="114"/>
      <x:c r="I79" s="126"/>
      <x:c r="J79" s="130" t="str">
        <x:f>IF(OR(E79="",F79="",H79="",I79=""),"",ABS(E79-F79)*H79*I79)</x:f>
      </x:c>
      <x:c r="K79" s="130" t="str">
        <x:f>IF(OR(D79="",E79="",G79="",H79="",I79=""),"",IF(UPPER(D79)="LONG",(G79-E79)*H79*I79,IF(UPPER(D79)="SHORT",(E79-G79)*H79*I79,"")))</x:f>
      </x:c>
      <x:c r="L79" s="126"/>
      <x:c r="M79" s="130" t="str">
        <x:f>IF(K79="","",K79-IF(L79="",0,L79))</x:f>
      </x:c>
      <x:c r="N79" s="134" t="str">
        <x:f>IF(OR(M79="",J79="",J79=0),"",M79/J79)</x:f>
      </x:c>
      <x:c r="O79" s="114"/>
      <x:c r="P79" s="114"/>
      <x:c r="Q79" s="114"/>
    </x:row>
    <x:row r="80" ht="24" customHeight="1">
      <x:c r="A80" s="122"/>
      <x:c r="B80" s="114"/>
      <x:c r="C80" s="114"/>
      <x:c r="D80" s="114"/>
      <x:c r="E80" s="126"/>
      <x:c r="F80" s="126"/>
      <x:c r="G80" s="126"/>
      <x:c r="H80" s="114"/>
      <x:c r="I80" s="126"/>
      <x:c r="J80" s="130" t="str">
        <x:f>IF(OR(E80="",F80="",H80="",I80=""),"",ABS(E80-F80)*H80*I80)</x:f>
      </x:c>
      <x:c r="K80" s="130" t="str">
        <x:f>IF(OR(D80="",E80="",G80="",H80="",I80=""),"",IF(UPPER(D80)="LONG",(G80-E80)*H80*I80,IF(UPPER(D80)="SHORT",(E80-G80)*H80*I80,"")))</x:f>
      </x:c>
      <x:c r="L80" s="126"/>
      <x:c r="M80" s="130" t="str">
        <x:f>IF(K80="","",K80-IF(L80="",0,L80))</x:f>
      </x:c>
      <x:c r="N80" s="134" t="str">
        <x:f>IF(OR(M80="",J80="",J80=0),"",M80/J80)</x:f>
      </x:c>
      <x:c r="O80" s="114"/>
      <x:c r="P80" s="114"/>
      <x:c r="Q80" s="114"/>
    </x:row>
    <x:row r="81" ht="24" customHeight="1">
      <x:c r="A81" s="122"/>
      <x:c r="B81" s="114"/>
      <x:c r="C81" s="114"/>
      <x:c r="D81" s="114"/>
      <x:c r="E81" s="126"/>
      <x:c r="F81" s="126"/>
      <x:c r="G81" s="126"/>
      <x:c r="H81" s="114"/>
      <x:c r="I81" s="126"/>
      <x:c r="J81" s="130" t="str">
        <x:f>IF(OR(E81="",F81="",H81="",I81=""),"",ABS(E81-F81)*H81*I81)</x:f>
      </x:c>
      <x:c r="K81" s="130" t="str">
        <x:f>IF(OR(D81="",E81="",G81="",H81="",I81=""),"",IF(UPPER(D81)="LONG",(G81-E81)*H81*I81,IF(UPPER(D81)="SHORT",(E81-G81)*H81*I81,"")))</x:f>
      </x:c>
      <x:c r="L81" s="126"/>
      <x:c r="M81" s="130" t="str">
        <x:f>IF(K81="","",K81-IF(L81="",0,L81))</x:f>
      </x:c>
      <x:c r="N81" s="134" t="str">
        <x:f>IF(OR(M81="",J81="",J81=0),"",M81/J81)</x:f>
      </x:c>
      <x:c r="O81" s="114"/>
      <x:c r="P81" s="114"/>
      <x:c r="Q81" s="114"/>
    </x:row>
    <x:row r="82" ht="24" customHeight="1">
      <x:c r="A82" s="122"/>
      <x:c r="B82" s="114"/>
      <x:c r="C82" s="114"/>
      <x:c r="D82" s="114"/>
      <x:c r="E82" s="126"/>
      <x:c r="F82" s="126"/>
      <x:c r="G82" s="126"/>
      <x:c r="H82" s="114"/>
      <x:c r="I82" s="126"/>
      <x:c r="J82" s="130" t="str">
        <x:f>IF(OR(E82="",F82="",H82="",I82=""),"",ABS(E82-F82)*H82*I82)</x:f>
      </x:c>
      <x:c r="K82" s="130" t="str">
        <x:f>IF(OR(D82="",E82="",G82="",H82="",I82=""),"",IF(UPPER(D82)="LONG",(G82-E82)*H82*I82,IF(UPPER(D82)="SHORT",(E82-G82)*H82*I82,"")))</x:f>
      </x:c>
      <x:c r="L82" s="126"/>
      <x:c r="M82" s="130" t="str">
        <x:f>IF(K82="","",K82-IF(L82="",0,L82))</x:f>
      </x:c>
      <x:c r="N82" s="134" t="str">
        <x:f>IF(OR(M82="",J82="",J82=0),"",M82/J82)</x:f>
      </x:c>
      <x:c r="O82" s="114"/>
      <x:c r="P82" s="114"/>
      <x:c r="Q82" s="114"/>
    </x:row>
    <x:row r="83" ht="24" customHeight="1">
      <x:c r="A83" s="122"/>
      <x:c r="B83" s="114"/>
      <x:c r="C83" s="114"/>
      <x:c r="D83" s="114"/>
      <x:c r="E83" s="126"/>
      <x:c r="F83" s="126"/>
      <x:c r="G83" s="126"/>
      <x:c r="H83" s="114"/>
      <x:c r="I83" s="126"/>
      <x:c r="J83" s="130" t="str">
        <x:f>IF(OR(E83="",F83="",H83="",I83=""),"",ABS(E83-F83)*H83*I83)</x:f>
      </x:c>
      <x:c r="K83" s="130" t="str">
        <x:f>IF(OR(D83="",E83="",G83="",H83="",I83=""),"",IF(UPPER(D83)="LONG",(G83-E83)*H83*I83,IF(UPPER(D83)="SHORT",(E83-G83)*H83*I83,"")))</x:f>
      </x:c>
      <x:c r="L83" s="126"/>
      <x:c r="M83" s="130" t="str">
        <x:f>IF(K83="","",K83-IF(L83="",0,L83))</x:f>
      </x:c>
      <x:c r="N83" s="134" t="str">
        <x:f>IF(OR(M83="",J83="",J83=0),"",M83/J83)</x:f>
      </x:c>
      <x:c r="O83" s="114"/>
      <x:c r="P83" s="114"/>
      <x:c r="Q83" s="114"/>
    </x:row>
    <x:row r="84" ht="24" customHeight="1">
      <x:c r="A84" s="122"/>
      <x:c r="B84" s="114"/>
      <x:c r="C84" s="114"/>
      <x:c r="D84" s="114"/>
      <x:c r="E84" s="126"/>
      <x:c r="F84" s="126"/>
      <x:c r="G84" s="126"/>
      <x:c r="H84" s="114"/>
      <x:c r="I84" s="126"/>
      <x:c r="J84" s="130" t="str">
        <x:f>IF(OR(E84="",F84="",H84="",I84=""),"",ABS(E84-F84)*H84*I84)</x:f>
      </x:c>
      <x:c r="K84" s="130" t="str">
        <x:f>IF(OR(D84="",E84="",G84="",H84="",I84=""),"",IF(UPPER(D84)="LONG",(G84-E84)*H84*I84,IF(UPPER(D84)="SHORT",(E84-G84)*H84*I84,"")))</x:f>
      </x:c>
      <x:c r="L84" s="126"/>
      <x:c r="M84" s="130" t="str">
        <x:f>IF(K84="","",K84-IF(L84="",0,L84))</x:f>
      </x:c>
      <x:c r="N84" s="134" t="str">
        <x:f>IF(OR(M84="",J84="",J84=0),"",M84/J84)</x:f>
      </x:c>
      <x:c r="O84" s="114"/>
      <x:c r="P84" s="114"/>
      <x:c r="Q84" s="114"/>
    </x:row>
    <x:row r="85" ht="24" customHeight="1">
      <x:c r="A85" s="122"/>
      <x:c r="B85" s="114"/>
      <x:c r="C85" s="114"/>
      <x:c r="D85" s="114"/>
      <x:c r="E85" s="126"/>
      <x:c r="F85" s="126"/>
      <x:c r="G85" s="126"/>
      <x:c r="H85" s="114"/>
      <x:c r="I85" s="126"/>
      <x:c r="J85" s="130" t="str">
        <x:f>IF(OR(E85="",F85="",H85="",I85=""),"",ABS(E85-F85)*H85*I85)</x:f>
      </x:c>
      <x:c r="K85" s="130" t="str">
        <x:f>IF(OR(D85="",E85="",G85="",H85="",I85=""),"",IF(UPPER(D85)="LONG",(G85-E85)*H85*I85,IF(UPPER(D85)="SHORT",(E85-G85)*H85*I85,"")))</x:f>
      </x:c>
      <x:c r="L85" s="126"/>
      <x:c r="M85" s="130" t="str">
        <x:f>IF(K85="","",K85-IF(L85="",0,L85))</x:f>
      </x:c>
      <x:c r="N85" s="134" t="str">
        <x:f>IF(OR(M85="",J85="",J85=0),"",M85/J85)</x:f>
      </x:c>
      <x:c r="O85" s="114"/>
      <x:c r="P85" s="114"/>
      <x:c r="Q85" s="114"/>
    </x:row>
    <x:row r="86" ht="24" customHeight="1">
      <x:c r="A86" s="122"/>
      <x:c r="B86" s="114"/>
      <x:c r="C86" s="114"/>
      <x:c r="D86" s="114"/>
      <x:c r="E86" s="126"/>
      <x:c r="F86" s="126"/>
      <x:c r="G86" s="126"/>
      <x:c r="H86" s="114"/>
      <x:c r="I86" s="126"/>
      <x:c r="J86" s="130" t="str">
        <x:f>IF(OR(E86="",F86="",H86="",I86=""),"",ABS(E86-F86)*H86*I86)</x:f>
      </x:c>
      <x:c r="K86" s="130" t="str">
        <x:f>IF(OR(D86="",E86="",G86="",H86="",I86=""),"",IF(UPPER(D86)="LONG",(G86-E86)*H86*I86,IF(UPPER(D86)="SHORT",(E86-G86)*H86*I86,"")))</x:f>
      </x:c>
      <x:c r="L86" s="126"/>
      <x:c r="M86" s="130" t="str">
        <x:f>IF(K86="","",K86-IF(L86="",0,L86))</x:f>
      </x:c>
      <x:c r="N86" s="134" t="str">
        <x:f>IF(OR(M86="",J86="",J86=0),"",M86/J86)</x:f>
      </x:c>
      <x:c r="O86" s="114"/>
      <x:c r="P86" s="114"/>
      <x:c r="Q86" s="114"/>
    </x:row>
    <x:row r="87" ht="24" customHeight="1">
      <x:c r="A87" s="122"/>
      <x:c r="B87" s="114"/>
      <x:c r="C87" s="114"/>
      <x:c r="D87" s="114"/>
      <x:c r="E87" s="126"/>
      <x:c r="F87" s="126"/>
      <x:c r="G87" s="126"/>
      <x:c r="H87" s="114"/>
      <x:c r="I87" s="126"/>
      <x:c r="J87" s="130" t="str">
        <x:f>IF(OR(E87="",F87="",H87="",I87=""),"",ABS(E87-F87)*H87*I87)</x:f>
      </x:c>
      <x:c r="K87" s="130" t="str">
        <x:f>IF(OR(D87="",E87="",G87="",H87="",I87=""),"",IF(UPPER(D87)="LONG",(G87-E87)*H87*I87,IF(UPPER(D87)="SHORT",(E87-G87)*H87*I87,"")))</x:f>
      </x:c>
      <x:c r="L87" s="126"/>
      <x:c r="M87" s="130" t="str">
        <x:f>IF(K87="","",K87-IF(L87="",0,L87))</x:f>
      </x:c>
      <x:c r="N87" s="134" t="str">
        <x:f>IF(OR(M87="",J87="",J87=0),"",M87/J87)</x:f>
      </x:c>
      <x:c r="O87" s="114"/>
      <x:c r="P87" s="114"/>
      <x:c r="Q87" s="114"/>
    </x:row>
    <x:row r="88" ht="24" customHeight="1">
      <x:c r="A88" s="122"/>
      <x:c r="B88" s="114"/>
      <x:c r="C88" s="114"/>
      <x:c r="D88" s="114"/>
      <x:c r="E88" s="126"/>
      <x:c r="F88" s="126"/>
      <x:c r="G88" s="126"/>
      <x:c r="H88" s="114"/>
      <x:c r="I88" s="126"/>
      <x:c r="J88" s="130" t="str">
        <x:f>IF(OR(E88="",F88="",H88="",I88=""),"",ABS(E88-F88)*H88*I88)</x:f>
      </x:c>
      <x:c r="K88" s="130" t="str">
        <x:f>IF(OR(D88="",E88="",G88="",H88="",I88=""),"",IF(UPPER(D88)="LONG",(G88-E88)*H88*I88,IF(UPPER(D88)="SHORT",(E88-G88)*H88*I88,"")))</x:f>
      </x:c>
      <x:c r="L88" s="126"/>
      <x:c r="M88" s="130" t="str">
        <x:f>IF(K88="","",K88-IF(L88="",0,L88))</x:f>
      </x:c>
      <x:c r="N88" s="134" t="str">
        <x:f>IF(OR(M88="",J88="",J88=0),"",M88/J88)</x:f>
      </x:c>
      <x:c r="O88" s="114"/>
      <x:c r="P88" s="114"/>
      <x:c r="Q88" s="114"/>
    </x:row>
    <x:row r="89" ht="24" customHeight="1">
      <x:c r="A89" s="122"/>
      <x:c r="B89" s="114"/>
      <x:c r="C89" s="114"/>
      <x:c r="D89" s="114"/>
      <x:c r="E89" s="126"/>
      <x:c r="F89" s="126"/>
      <x:c r="G89" s="126"/>
      <x:c r="H89" s="114"/>
      <x:c r="I89" s="126"/>
      <x:c r="J89" s="130" t="str">
        <x:f>IF(OR(E89="",F89="",H89="",I89=""),"",ABS(E89-F89)*H89*I89)</x:f>
      </x:c>
      <x:c r="K89" s="130" t="str">
        <x:f>IF(OR(D89="",E89="",G89="",H89="",I89=""),"",IF(UPPER(D89)="LONG",(G89-E89)*H89*I89,IF(UPPER(D89)="SHORT",(E89-G89)*H89*I89,"")))</x:f>
      </x:c>
      <x:c r="L89" s="126"/>
      <x:c r="M89" s="130" t="str">
        <x:f>IF(K89="","",K89-IF(L89="",0,L89))</x:f>
      </x:c>
      <x:c r="N89" s="134" t="str">
        <x:f>IF(OR(M89="",J89="",J89=0),"",M89/J89)</x:f>
      </x:c>
      <x:c r="O89" s="114"/>
      <x:c r="P89" s="114"/>
      <x:c r="Q89" s="114"/>
    </x:row>
    <x:row r="90" ht="24" customHeight="1">
      <x:c r="A90" s="122"/>
      <x:c r="B90" s="114"/>
      <x:c r="C90" s="114"/>
      <x:c r="D90" s="114"/>
      <x:c r="E90" s="126"/>
      <x:c r="F90" s="126"/>
      <x:c r="G90" s="126"/>
      <x:c r="H90" s="114"/>
      <x:c r="I90" s="126"/>
      <x:c r="J90" s="130" t="str">
        <x:f>IF(OR(E90="",F90="",H90="",I90=""),"",ABS(E90-F90)*H90*I90)</x:f>
      </x:c>
      <x:c r="K90" s="130" t="str">
        <x:f>IF(OR(D90="",E90="",G90="",H90="",I90=""),"",IF(UPPER(D90)="LONG",(G90-E90)*H90*I90,IF(UPPER(D90)="SHORT",(E90-G90)*H90*I90,"")))</x:f>
      </x:c>
      <x:c r="L90" s="126"/>
      <x:c r="M90" s="130" t="str">
        <x:f>IF(K90="","",K90-IF(L90="",0,L90))</x:f>
      </x:c>
      <x:c r="N90" s="134" t="str">
        <x:f>IF(OR(M90="",J90="",J90=0),"",M90/J90)</x:f>
      </x:c>
      <x:c r="O90" s="114"/>
      <x:c r="P90" s="114"/>
      <x:c r="Q90" s="114"/>
    </x:row>
    <x:row r="91" ht="24" customHeight="1">
      <x:c r="A91" s="122"/>
      <x:c r="B91" s="114"/>
      <x:c r="C91" s="114"/>
      <x:c r="D91" s="114"/>
      <x:c r="E91" s="126"/>
      <x:c r="F91" s="126"/>
      <x:c r="G91" s="126"/>
      <x:c r="H91" s="114"/>
      <x:c r="I91" s="126"/>
      <x:c r="J91" s="130" t="str">
        <x:f>IF(OR(E91="",F91="",H91="",I91=""),"",ABS(E91-F91)*H91*I91)</x:f>
      </x:c>
      <x:c r="K91" s="130" t="str">
        <x:f>IF(OR(D91="",E91="",G91="",H91="",I91=""),"",IF(UPPER(D91)="LONG",(G91-E91)*H91*I91,IF(UPPER(D91)="SHORT",(E91-G91)*H91*I91,"")))</x:f>
      </x:c>
      <x:c r="L91" s="126"/>
      <x:c r="M91" s="130" t="str">
        <x:f>IF(K91="","",K91-IF(L91="",0,L91))</x:f>
      </x:c>
      <x:c r="N91" s="134" t="str">
        <x:f>IF(OR(M91="",J91="",J91=0),"",M91/J91)</x:f>
      </x:c>
      <x:c r="O91" s="114"/>
      <x:c r="P91" s="114"/>
      <x:c r="Q91" s="114"/>
    </x:row>
    <x:row r="92" ht="24" customHeight="1">
      <x:c r="A92" s="122"/>
      <x:c r="B92" s="114"/>
      <x:c r="C92" s="114"/>
      <x:c r="D92" s="114"/>
      <x:c r="E92" s="126"/>
      <x:c r="F92" s="126"/>
      <x:c r="G92" s="126"/>
      <x:c r="H92" s="114"/>
      <x:c r="I92" s="126"/>
      <x:c r="J92" s="130" t="str">
        <x:f>IF(OR(E92="",F92="",H92="",I92=""),"",ABS(E92-F92)*H92*I92)</x:f>
      </x:c>
      <x:c r="K92" s="130" t="str">
        <x:f>IF(OR(D92="",E92="",G92="",H92="",I92=""),"",IF(UPPER(D92)="LONG",(G92-E92)*H92*I92,IF(UPPER(D92)="SHORT",(E92-G92)*H92*I92,"")))</x:f>
      </x:c>
      <x:c r="L92" s="126"/>
      <x:c r="M92" s="130" t="str">
        <x:f>IF(K92="","",K92-IF(L92="",0,L92))</x:f>
      </x:c>
      <x:c r="N92" s="134" t="str">
        <x:f>IF(OR(M92="",J92="",J92=0),"",M92/J92)</x:f>
      </x:c>
      <x:c r="O92" s="114"/>
      <x:c r="P92" s="114"/>
      <x:c r="Q92" s="114"/>
    </x:row>
    <x:row r="93" ht="24" customHeight="1">
      <x:c r="A93" s="122"/>
      <x:c r="B93" s="114"/>
      <x:c r="C93" s="114"/>
      <x:c r="D93" s="114"/>
      <x:c r="E93" s="126"/>
      <x:c r="F93" s="126"/>
      <x:c r="G93" s="126"/>
      <x:c r="H93" s="114"/>
      <x:c r="I93" s="126"/>
      <x:c r="J93" s="130" t="str">
        <x:f>IF(OR(E93="",F93="",H93="",I93=""),"",ABS(E93-F93)*H93*I93)</x:f>
      </x:c>
      <x:c r="K93" s="130" t="str">
        <x:f>IF(OR(D93="",E93="",G93="",H93="",I93=""),"",IF(UPPER(D93)="LONG",(G93-E93)*H93*I93,IF(UPPER(D93)="SHORT",(E93-G93)*H93*I93,"")))</x:f>
      </x:c>
      <x:c r="L93" s="126"/>
      <x:c r="M93" s="130" t="str">
        <x:f>IF(K93="","",K93-IF(L93="",0,L93))</x:f>
      </x:c>
      <x:c r="N93" s="134" t="str">
        <x:f>IF(OR(M93="",J93="",J93=0),"",M93/J93)</x:f>
      </x:c>
      <x:c r="O93" s="114"/>
      <x:c r="P93" s="114"/>
      <x:c r="Q93" s="114"/>
    </x:row>
    <x:row r="94" ht="24" customHeight="1">
      <x:c r="A94" s="122"/>
      <x:c r="B94" s="114"/>
      <x:c r="C94" s="114"/>
      <x:c r="D94" s="114"/>
      <x:c r="E94" s="126"/>
      <x:c r="F94" s="126"/>
      <x:c r="G94" s="126"/>
      <x:c r="H94" s="114"/>
      <x:c r="I94" s="126"/>
      <x:c r="J94" s="130" t="str">
        <x:f>IF(OR(E94="",F94="",H94="",I94=""),"",ABS(E94-F94)*H94*I94)</x:f>
      </x:c>
      <x:c r="K94" s="130" t="str">
        <x:f>IF(OR(D94="",E94="",G94="",H94="",I94=""),"",IF(UPPER(D94)="LONG",(G94-E94)*H94*I94,IF(UPPER(D94)="SHORT",(E94-G94)*H94*I94,"")))</x:f>
      </x:c>
      <x:c r="L94" s="126"/>
      <x:c r="M94" s="130" t="str">
        <x:f>IF(K94="","",K94-IF(L94="",0,L94))</x:f>
      </x:c>
      <x:c r="N94" s="134" t="str">
        <x:f>IF(OR(M94="",J94="",J94=0),"",M94/J94)</x:f>
      </x:c>
      <x:c r="O94" s="114"/>
      <x:c r="P94" s="114"/>
      <x:c r="Q94" s="114"/>
    </x:row>
    <x:row r="95" ht="24" customHeight="1">
      <x:c r="A95" s="122"/>
      <x:c r="B95" s="114"/>
      <x:c r="C95" s="114"/>
      <x:c r="D95" s="114"/>
      <x:c r="E95" s="126"/>
      <x:c r="F95" s="126"/>
      <x:c r="G95" s="126"/>
      <x:c r="H95" s="114"/>
      <x:c r="I95" s="126"/>
      <x:c r="J95" s="130" t="str">
        <x:f>IF(OR(E95="",F95="",H95="",I95=""),"",ABS(E95-F95)*H95*I95)</x:f>
      </x:c>
      <x:c r="K95" s="130" t="str">
        <x:f>IF(OR(D95="",E95="",G95="",H95="",I95=""),"",IF(UPPER(D95)="LONG",(G95-E95)*H95*I95,IF(UPPER(D95)="SHORT",(E95-G95)*H95*I95,"")))</x:f>
      </x:c>
      <x:c r="L95" s="126"/>
      <x:c r="M95" s="130" t="str">
        <x:f>IF(K95="","",K95-IF(L95="",0,L95))</x:f>
      </x:c>
      <x:c r="N95" s="134" t="str">
        <x:f>IF(OR(M95="",J95="",J95=0),"",M95/J95)</x:f>
      </x:c>
      <x:c r="O95" s="114"/>
      <x:c r="P95" s="114"/>
      <x:c r="Q95" s="114"/>
    </x:row>
    <x:row r="96" ht="24" customHeight="1">
      <x:c r="A96" s="122"/>
      <x:c r="B96" s="114"/>
      <x:c r="C96" s="114"/>
      <x:c r="D96" s="114"/>
      <x:c r="E96" s="126"/>
      <x:c r="F96" s="126"/>
      <x:c r="G96" s="126"/>
      <x:c r="H96" s="114"/>
      <x:c r="I96" s="126"/>
      <x:c r="J96" s="130" t="str">
        <x:f>IF(OR(E96="",F96="",H96="",I96=""),"",ABS(E96-F96)*H96*I96)</x:f>
      </x:c>
      <x:c r="K96" s="130" t="str">
        <x:f>IF(OR(D96="",E96="",G96="",H96="",I96=""),"",IF(UPPER(D96)="LONG",(G96-E96)*H96*I96,IF(UPPER(D96)="SHORT",(E96-G96)*H96*I96,"")))</x:f>
      </x:c>
      <x:c r="L96" s="126"/>
      <x:c r="M96" s="130" t="str">
        <x:f>IF(K96="","",K96-IF(L96="",0,L96))</x:f>
      </x:c>
      <x:c r="N96" s="134" t="str">
        <x:f>IF(OR(M96="",J96="",J96=0),"",M96/J96)</x:f>
      </x:c>
      <x:c r="O96" s="114"/>
      <x:c r="P96" s="114"/>
      <x:c r="Q96" s="114"/>
    </x:row>
    <x:row r="97" ht="24" customHeight="1">
      <x:c r="A97" s="122"/>
      <x:c r="B97" s="114"/>
      <x:c r="C97" s="114"/>
      <x:c r="D97" s="114"/>
      <x:c r="E97" s="126"/>
      <x:c r="F97" s="126"/>
      <x:c r="G97" s="126"/>
      <x:c r="H97" s="114"/>
      <x:c r="I97" s="126"/>
      <x:c r="J97" s="130" t="str">
        <x:f>IF(OR(E97="",F97="",H97="",I97=""),"",ABS(E97-F97)*H97*I97)</x:f>
      </x:c>
      <x:c r="K97" s="130" t="str">
        <x:f>IF(OR(D97="",E97="",G97="",H97="",I97=""),"",IF(UPPER(D97)="LONG",(G97-E97)*H97*I97,IF(UPPER(D97)="SHORT",(E97-G97)*H97*I97,"")))</x:f>
      </x:c>
      <x:c r="L97" s="126"/>
      <x:c r="M97" s="130" t="str">
        <x:f>IF(K97="","",K97-IF(L97="",0,L97))</x:f>
      </x:c>
      <x:c r="N97" s="134" t="str">
        <x:f>IF(OR(M97="",J97="",J97=0),"",M97/J97)</x:f>
      </x:c>
      <x:c r="O97" s="114"/>
      <x:c r="P97" s="114"/>
      <x:c r="Q97" s="114"/>
    </x:row>
    <x:row r="98" ht="24" customHeight="1">
      <x:c r="A98" s="122"/>
      <x:c r="B98" s="114"/>
      <x:c r="C98" s="114"/>
      <x:c r="D98" s="114"/>
      <x:c r="E98" s="126"/>
      <x:c r="F98" s="126"/>
      <x:c r="G98" s="126"/>
      <x:c r="H98" s="114"/>
      <x:c r="I98" s="126"/>
      <x:c r="J98" s="130" t="str">
        <x:f>IF(OR(E98="",F98="",H98="",I98=""),"",ABS(E98-F98)*H98*I98)</x:f>
      </x:c>
      <x:c r="K98" s="130" t="str">
        <x:f>IF(OR(D98="",E98="",G98="",H98="",I98=""),"",IF(UPPER(D98)="LONG",(G98-E98)*H98*I98,IF(UPPER(D98)="SHORT",(E98-G98)*H98*I98,"")))</x:f>
      </x:c>
      <x:c r="L98" s="126"/>
      <x:c r="M98" s="130" t="str">
        <x:f>IF(K98="","",K98-IF(L98="",0,L98))</x:f>
      </x:c>
      <x:c r="N98" s="134" t="str">
        <x:f>IF(OR(M98="",J98="",J98=0),"",M98/J98)</x:f>
      </x:c>
      <x:c r="O98" s="114"/>
      <x:c r="P98" s="114"/>
      <x:c r="Q98" s="114"/>
    </x:row>
    <x:row r="99" ht="24" customHeight="1">
      <x:c r="A99" s="122"/>
      <x:c r="B99" s="114"/>
      <x:c r="C99" s="114"/>
      <x:c r="D99" s="114"/>
      <x:c r="E99" s="126"/>
      <x:c r="F99" s="126"/>
      <x:c r="G99" s="126"/>
      <x:c r="H99" s="114"/>
      <x:c r="I99" s="126"/>
      <x:c r="J99" s="130" t="str">
        <x:f>IF(OR(E99="",F99="",H99="",I99=""),"",ABS(E99-F99)*H99*I99)</x:f>
      </x:c>
      <x:c r="K99" s="130" t="str">
        <x:f>IF(OR(D99="",E99="",G99="",H99="",I99=""),"",IF(UPPER(D99)="LONG",(G99-E99)*H99*I99,IF(UPPER(D99)="SHORT",(E99-G99)*H99*I99,"")))</x:f>
      </x:c>
      <x:c r="L99" s="126"/>
      <x:c r="M99" s="130" t="str">
        <x:f>IF(K99="","",K99-IF(L99="",0,L99))</x:f>
      </x:c>
      <x:c r="N99" s="134" t="str">
        <x:f>IF(OR(M99="",J99="",J99=0),"",M99/J99)</x:f>
      </x:c>
      <x:c r="O99" s="114"/>
      <x:c r="P99" s="114"/>
      <x:c r="Q99" s="114"/>
    </x:row>
    <x:row r="100" ht="24" customHeight="1">
      <x:c r="A100" s="122"/>
      <x:c r="B100" s="114"/>
      <x:c r="C100" s="114"/>
      <x:c r="D100" s="114"/>
      <x:c r="E100" s="126"/>
      <x:c r="F100" s="126"/>
      <x:c r="G100" s="126"/>
      <x:c r="H100" s="114"/>
      <x:c r="I100" s="126"/>
      <x:c r="J100" s="130" t="str">
        <x:f>IF(OR(E100="",F100="",H100="",I100=""),"",ABS(E100-F100)*H100*I100)</x:f>
      </x:c>
      <x:c r="K100" s="130" t="str">
        <x:f>IF(OR(D100="",E100="",G100="",H100="",I100=""),"",IF(UPPER(D100)="LONG",(G100-E100)*H100*I100,IF(UPPER(D100)="SHORT",(E100-G100)*H100*I100,"")))</x:f>
      </x:c>
      <x:c r="L100" s="126"/>
      <x:c r="M100" s="130" t="str">
        <x:f>IF(K100="","",K100-IF(L100="",0,L100))</x:f>
      </x:c>
      <x:c r="N100" s="134" t="str">
        <x:f>IF(OR(M100="",J100="",J100=0),"",M100/J100)</x:f>
      </x:c>
      <x:c r="O100" s="114"/>
      <x:c r="P100" s="114"/>
      <x:c r="Q100" s="114"/>
    </x:row>
    <x:row r="101" ht="24" customHeight="1">
      <x:c r="A101" s="122"/>
      <x:c r="B101" s="114"/>
      <x:c r="C101" s="114"/>
      <x:c r="D101" s="114"/>
      <x:c r="E101" s="126"/>
      <x:c r="F101" s="126"/>
      <x:c r="G101" s="126"/>
      <x:c r="H101" s="114"/>
      <x:c r="I101" s="126"/>
      <x:c r="J101" s="130" t="str">
        <x:f>IF(OR(E101="",F101="",H101="",I101=""),"",ABS(E101-F101)*H101*I101)</x:f>
      </x:c>
      <x:c r="K101" s="130" t="str">
        <x:f>IF(OR(D101="",E101="",G101="",H101="",I101=""),"",IF(UPPER(D101)="LONG",(G101-E101)*H101*I101,IF(UPPER(D101)="SHORT",(E101-G101)*H101*I101,"")))</x:f>
      </x:c>
      <x:c r="L101" s="126"/>
      <x:c r="M101" s="130" t="str">
        <x:f>IF(K101="","",K101-IF(L101="",0,L101))</x:f>
      </x:c>
      <x:c r="N101" s="134" t="str">
        <x:f>IF(OR(M101="",J101="",J101=0),"",M101/J101)</x:f>
      </x:c>
      <x:c r="O101" s="114"/>
      <x:c r="P101" s="114"/>
      <x:c r="Q101" s="114"/>
    </x:row>
    <x:row r="102" ht="24" customHeight="1">
      <x:c r="A102" s="122"/>
      <x:c r="B102" s="114"/>
      <x:c r="C102" s="114"/>
      <x:c r="D102" s="114"/>
      <x:c r="E102" s="126"/>
      <x:c r="F102" s="126"/>
      <x:c r="G102" s="126"/>
      <x:c r="H102" s="114"/>
      <x:c r="I102" s="126"/>
      <x:c r="J102" s="130" t="str">
        <x:f>IF(OR(E102="",F102="",H102="",I102=""),"",ABS(E102-F102)*H102*I102)</x:f>
      </x:c>
      <x:c r="K102" s="130" t="str">
        <x:f>IF(OR(D102="",E102="",G102="",H102="",I102=""),"",IF(UPPER(D102)="LONG",(G102-E102)*H102*I102,IF(UPPER(D102)="SHORT",(E102-G102)*H102*I102,"")))</x:f>
      </x:c>
      <x:c r="L102" s="126"/>
      <x:c r="M102" s="130" t="str">
        <x:f>IF(K102="","",K102-IF(L102="",0,L102))</x:f>
      </x:c>
      <x:c r="N102" s="134" t="str">
        <x:f>IF(OR(M102="",J102="",J102=0),"",M102/J102)</x:f>
      </x:c>
      <x:c r="O102" s="114"/>
      <x:c r="P102" s="114"/>
      <x:c r="Q102" s="114"/>
    </x:row>
    <x:row r="103" ht="24" customHeight="1">
      <x:c r="A103" s="122"/>
      <x:c r="B103" s="114"/>
      <x:c r="C103" s="114"/>
      <x:c r="D103" s="114"/>
      <x:c r="E103" s="126"/>
      <x:c r="F103" s="126"/>
      <x:c r="G103" s="126"/>
      <x:c r="H103" s="114"/>
      <x:c r="I103" s="126"/>
      <x:c r="J103" s="130" t="str">
        <x:f>IF(OR(E103="",F103="",H103="",I103=""),"",ABS(E103-F103)*H103*I103)</x:f>
      </x:c>
      <x:c r="K103" s="130" t="str">
        <x:f>IF(OR(D103="",E103="",G103="",H103="",I103=""),"",IF(UPPER(D103)="LONG",(G103-E103)*H103*I103,IF(UPPER(D103)="SHORT",(E103-G103)*H103*I103,"")))</x:f>
      </x:c>
      <x:c r="L103" s="126"/>
      <x:c r="M103" s="130" t="str">
        <x:f>IF(K103="","",K103-IF(L103="",0,L103))</x:f>
      </x:c>
      <x:c r="N103" s="134" t="str">
        <x:f>IF(OR(M103="",J103="",J103=0),"",M103/J103)</x:f>
      </x:c>
      <x:c r="O103" s="114"/>
      <x:c r="P103" s="114"/>
      <x:c r="Q103" s="114"/>
    </x:row>
    <x:row r="104" ht="24" customHeight="1">
      <x:c r="A104" s="122"/>
      <x:c r="B104" s="114"/>
      <x:c r="C104" s="114"/>
      <x:c r="D104" s="114"/>
      <x:c r="E104" s="126"/>
      <x:c r="F104" s="126"/>
      <x:c r="G104" s="126"/>
      <x:c r="H104" s="114"/>
      <x:c r="I104" s="126"/>
      <x:c r="J104" s="130" t="str">
        <x:f>IF(OR(E104="",F104="",H104="",I104=""),"",ABS(E104-F104)*H104*I104)</x:f>
      </x:c>
      <x:c r="K104" s="130" t="str">
        <x:f>IF(OR(D104="",E104="",G104="",H104="",I104=""),"",IF(UPPER(D104)="LONG",(G104-E104)*H104*I104,IF(UPPER(D104)="SHORT",(E104-G104)*H104*I104,"")))</x:f>
      </x:c>
      <x:c r="L104" s="126"/>
      <x:c r="M104" s="130" t="str">
        <x:f>IF(K104="","",K104-IF(L104="",0,L104))</x:f>
      </x:c>
      <x:c r="N104" s="134" t="str">
        <x:f>IF(OR(M104="",J104="",J104=0),"",M104/J104)</x:f>
      </x:c>
      <x:c r="O104" s="114"/>
      <x:c r="P104" s="114"/>
      <x:c r="Q104" s="114"/>
    </x:row>
    <x:row r="105" ht="24" customHeight="1">
      <x:c r="A105" s="122"/>
      <x:c r="B105" s="114"/>
      <x:c r="C105" s="114"/>
      <x:c r="D105" s="114"/>
      <x:c r="E105" s="126"/>
      <x:c r="F105" s="126"/>
      <x:c r="G105" s="126"/>
      <x:c r="H105" s="114"/>
      <x:c r="I105" s="126"/>
      <x:c r="J105" s="130" t="str">
        <x:f>IF(OR(E105="",F105="",H105="",I105=""),"",ABS(E105-F105)*H105*I105)</x:f>
      </x:c>
      <x:c r="K105" s="130" t="str">
        <x:f>IF(OR(D105="",E105="",G105="",H105="",I105=""),"",IF(UPPER(D105)="LONG",(G105-E105)*H105*I105,IF(UPPER(D105)="SHORT",(E105-G105)*H105*I105,"")))</x:f>
      </x:c>
      <x:c r="L105" s="126"/>
      <x:c r="M105" s="130" t="str">
        <x:f>IF(K105="","",K105-IF(L105="",0,L105))</x:f>
      </x:c>
      <x:c r="N105" s="134" t="str">
        <x:f>IF(OR(M105="",J105="",J105=0),"",M105/J105)</x:f>
      </x:c>
      <x:c r="O105" s="114"/>
      <x:c r="P105" s="114"/>
      <x:c r="Q105" s="114"/>
    </x:row>
    <x:row r="106" ht="24" customHeight="1">
      <x:c r="A106" s="122"/>
      <x:c r="B106" s="114"/>
      <x:c r="C106" s="114"/>
      <x:c r="D106" s="114"/>
      <x:c r="E106" s="126"/>
      <x:c r="F106" s="126"/>
      <x:c r="G106" s="126"/>
      <x:c r="H106" s="114"/>
      <x:c r="I106" s="126"/>
      <x:c r="J106" s="130" t="str">
        <x:f>IF(OR(E106="",F106="",H106="",I106=""),"",ABS(E106-F106)*H106*I106)</x:f>
      </x:c>
      <x:c r="K106" s="130" t="str">
        <x:f>IF(OR(D106="",E106="",G106="",H106="",I106=""),"",IF(UPPER(D106)="LONG",(G106-E106)*H106*I106,IF(UPPER(D106)="SHORT",(E106-G106)*H106*I106,"")))</x:f>
      </x:c>
      <x:c r="L106" s="126"/>
      <x:c r="M106" s="130" t="str">
        <x:f>IF(K106="","",K106-IF(L106="",0,L106))</x:f>
      </x:c>
      <x:c r="N106" s="134" t="str">
        <x:f>IF(OR(M106="",J106="",J106=0),"",M106/J106)</x:f>
      </x:c>
      <x:c r="O106" s="114"/>
      <x:c r="P106" s="114"/>
      <x:c r="Q106" s="114"/>
    </x:row>
    <x:row r="107" ht="24" customHeight="1">
      <x:c r="A107" s="122"/>
      <x:c r="B107" s="114"/>
      <x:c r="C107" s="114"/>
      <x:c r="D107" s="114"/>
      <x:c r="E107" s="126"/>
      <x:c r="F107" s="126"/>
      <x:c r="G107" s="126"/>
      <x:c r="H107" s="114"/>
      <x:c r="I107" s="126"/>
      <x:c r="J107" s="130" t="str">
        <x:f>IF(OR(E107="",F107="",H107="",I107=""),"",ABS(E107-F107)*H107*I107)</x:f>
      </x:c>
      <x:c r="K107" s="130" t="str">
        <x:f>IF(OR(D107="",E107="",G107="",H107="",I107=""),"",IF(UPPER(D107)="LONG",(G107-E107)*H107*I107,IF(UPPER(D107)="SHORT",(E107-G107)*H107*I107,"")))</x:f>
      </x:c>
      <x:c r="L107" s="126"/>
      <x:c r="M107" s="130" t="str">
        <x:f>IF(K107="","",K107-IF(L107="",0,L107))</x:f>
      </x:c>
      <x:c r="N107" s="134" t="str">
        <x:f>IF(OR(M107="",J107="",J107=0),"",M107/J107)</x:f>
      </x:c>
      <x:c r="O107" s="114"/>
      <x:c r="P107" s="114"/>
      <x:c r="Q107" s="114"/>
    </x:row>
    <x:row r="108" ht="24" customHeight="1">
      <x:c r="A108" s="122"/>
      <x:c r="B108" s="114"/>
      <x:c r="C108" s="114"/>
      <x:c r="D108" s="114"/>
      <x:c r="E108" s="126"/>
      <x:c r="F108" s="126"/>
      <x:c r="G108" s="126"/>
      <x:c r="H108" s="114"/>
      <x:c r="I108" s="126"/>
      <x:c r="J108" s="130" t="str">
        <x:f>IF(OR(E108="",F108="",H108="",I108=""),"",ABS(E108-F108)*H108*I108)</x:f>
      </x:c>
      <x:c r="K108" s="130" t="str">
        <x:f>IF(OR(D108="",E108="",G108="",H108="",I108=""),"",IF(UPPER(D108)="LONG",(G108-E108)*H108*I108,IF(UPPER(D108)="SHORT",(E108-G108)*H108*I108,"")))</x:f>
      </x:c>
      <x:c r="L108" s="126"/>
      <x:c r="M108" s="130" t="str">
        <x:f>IF(K108="","",K108-IF(L108="",0,L108))</x:f>
      </x:c>
      <x:c r="N108" s="134" t="str">
        <x:f>IF(OR(M108="",J108="",J108=0),"",M108/J108)</x:f>
      </x:c>
      <x:c r="O108" s="114"/>
      <x:c r="P108" s="114"/>
      <x:c r="Q108" s="114"/>
    </x:row>
    <x:row r="109" ht="24" customHeight="1">
      <x:c r="A109" s="122"/>
      <x:c r="B109" s="114"/>
      <x:c r="C109" s="114"/>
      <x:c r="D109" s="114"/>
      <x:c r="E109" s="126"/>
      <x:c r="F109" s="126"/>
      <x:c r="G109" s="126"/>
      <x:c r="H109" s="114"/>
      <x:c r="I109" s="126"/>
      <x:c r="J109" s="130" t="str">
        <x:f>IF(OR(E109="",F109="",H109="",I109=""),"",ABS(E109-F109)*H109*I109)</x:f>
      </x:c>
      <x:c r="K109" s="130" t="str">
        <x:f>IF(OR(D109="",E109="",G109="",H109="",I109=""),"",IF(UPPER(D109)="LONG",(G109-E109)*H109*I109,IF(UPPER(D109)="SHORT",(E109-G109)*H109*I109,"")))</x:f>
      </x:c>
      <x:c r="L109" s="126"/>
      <x:c r="M109" s="130" t="str">
        <x:f>IF(K109="","",K109-IF(L109="",0,L109))</x:f>
      </x:c>
      <x:c r="N109" s="134" t="str">
        <x:f>IF(OR(M109="",J109="",J109=0),"",M109/J109)</x:f>
      </x:c>
      <x:c r="O109" s="114"/>
      <x:c r="P109" s="114"/>
      <x:c r="Q109" s="114"/>
    </x:row>
    <x:row r="110" ht="24" customHeight="1">
      <x:c r="A110" s="122"/>
      <x:c r="B110" s="114"/>
      <x:c r="C110" s="114"/>
      <x:c r="D110" s="114"/>
      <x:c r="E110" s="126"/>
      <x:c r="F110" s="126"/>
      <x:c r="G110" s="126"/>
      <x:c r="H110" s="114"/>
      <x:c r="I110" s="126"/>
      <x:c r="J110" s="130" t="str">
        <x:f>IF(OR(E110="",F110="",H110="",I110=""),"",ABS(E110-F110)*H110*I110)</x:f>
      </x:c>
      <x:c r="K110" s="130" t="str">
        <x:f>IF(OR(D110="",E110="",G110="",H110="",I110=""),"",IF(UPPER(D110)="LONG",(G110-E110)*H110*I110,IF(UPPER(D110)="SHORT",(E110-G110)*H110*I110,"")))</x:f>
      </x:c>
      <x:c r="L110" s="126"/>
      <x:c r="M110" s="130" t="str">
        <x:f>IF(K110="","",K110-IF(L110="",0,L110))</x:f>
      </x:c>
      <x:c r="N110" s="134" t="str">
        <x:f>IF(OR(M110="",J110="",J110=0),"",M110/J110)</x:f>
      </x:c>
      <x:c r="O110" s="114"/>
      <x:c r="P110" s="114"/>
      <x:c r="Q110" s="114"/>
    </x:row>
    <x:row r="111" ht="24" customHeight="1">
      <x:c r="A111" s="122"/>
      <x:c r="B111" s="114"/>
      <x:c r="C111" s="114"/>
      <x:c r="D111" s="114"/>
      <x:c r="E111" s="126"/>
      <x:c r="F111" s="126"/>
      <x:c r="G111" s="126"/>
      <x:c r="H111" s="114"/>
      <x:c r="I111" s="126"/>
      <x:c r="J111" s="130" t="str">
        <x:f>IF(OR(E111="",F111="",H111="",I111=""),"",ABS(E111-F111)*H111*I111)</x:f>
      </x:c>
      <x:c r="K111" s="130" t="str">
        <x:f>IF(OR(D111="",E111="",G111="",H111="",I111=""),"",IF(UPPER(D111)="LONG",(G111-E111)*H111*I111,IF(UPPER(D111)="SHORT",(E111-G111)*H111*I111,"")))</x:f>
      </x:c>
      <x:c r="L111" s="126"/>
      <x:c r="M111" s="130" t="str">
        <x:f>IF(K111="","",K111-IF(L111="",0,L111))</x:f>
      </x:c>
      <x:c r="N111" s="134" t="str">
        <x:f>IF(OR(M111="",J111="",J111=0),"",M111/J111)</x:f>
      </x:c>
      <x:c r="O111" s="114"/>
      <x:c r="P111" s="114"/>
      <x:c r="Q111" s="114"/>
    </x:row>
    <x:row r="112" ht="24" customHeight="1">
      <x:c r="A112" s="122"/>
      <x:c r="B112" s="114"/>
      <x:c r="C112" s="114"/>
      <x:c r="D112" s="114"/>
      <x:c r="E112" s="126"/>
      <x:c r="F112" s="126"/>
      <x:c r="G112" s="126"/>
      <x:c r="H112" s="114"/>
      <x:c r="I112" s="126"/>
      <x:c r="J112" s="130" t="str">
        <x:f>IF(OR(E112="",F112="",H112="",I112=""),"",ABS(E112-F112)*H112*I112)</x:f>
      </x:c>
      <x:c r="K112" s="130" t="str">
        <x:f>IF(OR(D112="",E112="",G112="",H112="",I112=""),"",IF(UPPER(D112)="LONG",(G112-E112)*H112*I112,IF(UPPER(D112)="SHORT",(E112-G112)*H112*I112,"")))</x:f>
      </x:c>
      <x:c r="L112" s="126"/>
      <x:c r="M112" s="130" t="str">
        <x:f>IF(K112="","",K112-IF(L112="",0,L112))</x:f>
      </x:c>
      <x:c r="N112" s="134" t="str">
        <x:f>IF(OR(M112="",J112="",J112=0),"",M112/J112)</x:f>
      </x:c>
      <x:c r="O112" s="114"/>
      <x:c r="P112" s="114"/>
      <x:c r="Q112" s="114"/>
    </x:row>
    <x:row r="113" ht="24" customHeight="1">
      <x:c r="A113" s="122"/>
      <x:c r="B113" s="114"/>
      <x:c r="C113" s="114"/>
      <x:c r="D113" s="114"/>
      <x:c r="E113" s="126"/>
      <x:c r="F113" s="126"/>
      <x:c r="G113" s="126"/>
      <x:c r="H113" s="114"/>
      <x:c r="I113" s="126"/>
      <x:c r="J113" s="130" t="str">
        <x:f>IF(OR(E113="",F113="",H113="",I113=""),"",ABS(E113-F113)*H113*I113)</x:f>
      </x:c>
      <x:c r="K113" s="130" t="str">
        <x:f>IF(OR(D113="",E113="",G113="",H113="",I113=""),"",IF(UPPER(D113)="LONG",(G113-E113)*H113*I113,IF(UPPER(D113)="SHORT",(E113-G113)*H113*I113,"")))</x:f>
      </x:c>
      <x:c r="L113" s="126"/>
      <x:c r="M113" s="130" t="str">
        <x:f>IF(K113="","",K113-IF(L113="",0,L113))</x:f>
      </x:c>
      <x:c r="N113" s="134" t="str">
        <x:f>IF(OR(M113="",J113="",J113=0),"",M113/J113)</x:f>
      </x:c>
      <x:c r="O113" s="114"/>
      <x:c r="P113" s="114"/>
      <x:c r="Q113" s="114"/>
    </x:row>
    <x:row r="114" ht="24" customHeight="1">
      <x:c r="A114" s="122"/>
      <x:c r="B114" s="114"/>
      <x:c r="C114" s="114"/>
      <x:c r="D114" s="114"/>
      <x:c r="E114" s="126"/>
      <x:c r="F114" s="126"/>
      <x:c r="G114" s="126"/>
      <x:c r="H114" s="114"/>
      <x:c r="I114" s="126"/>
      <x:c r="J114" s="130" t="str">
        <x:f>IF(OR(E114="",F114="",H114="",I114=""),"",ABS(E114-F114)*H114*I114)</x:f>
      </x:c>
      <x:c r="K114" s="130" t="str">
        <x:f>IF(OR(D114="",E114="",G114="",H114="",I114=""),"",IF(UPPER(D114)="LONG",(G114-E114)*H114*I114,IF(UPPER(D114)="SHORT",(E114-G114)*H114*I114,"")))</x:f>
      </x:c>
      <x:c r="L114" s="126"/>
      <x:c r="M114" s="130" t="str">
        <x:f>IF(K114="","",K114-IF(L114="",0,L114))</x:f>
      </x:c>
      <x:c r="N114" s="134" t="str">
        <x:f>IF(OR(M114="",J114="",J114=0),"",M114/J114)</x:f>
      </x:c>
      <x:c r="O114" s="114"/>
      <x:c r="P114" s="114"/>
      <x:c r="Q114" s="114"/>
    </x:row>
    <x:row r="115" ht="24" customHeight="1">
      <x:c r="A115" s="122"/>
      <x:c r="B115" s="114"/>
      <x:c r="C115" s="114"/>
      <x:c r="D115" s="114"/>
      <x:c r="E115" s="126"/>
      <x:c r="F115" s="126"/>
      <x:c r="G115" s="126"/>
      <x:c r="H115" s="114"/>
      <x:c r="I115" s="126"/>
      <x:c r="J115" s="130" t="str">
        <x:f>IF(OR(E115="",F115="",H115="",I115=""),"",ABS(E115-F115)*H115*I115)</x:f>
      </x:c>
      <x:c r="K115" s="130" t="str">
        <x:f>IF(OR(D115="",E115="",G115="",H115="",I115=""),"",IF(UPPER(D115)="LONG",(G115-E115)*H115*I115,IF(UPPER(D115)="SHORT",(E115-G115)*H115*I115,"")))</x:f>
      </x:c>
      <x:c r="L115" s="126"/>
      <x:c r="M115" s="130" t="str">
        <x:f>IF(K115="","",K115-IF(L115="",0,L115))</x:f>
      </x:c>
      <x:c r="N115" s="134" t="str">
        <x:f>IF(OR(M115="",J115="",J115=0),"",M115/J115)</x:f>
      </x:c>
      <x:c r="O115" s="114"/>
      <x:c r="P115" s="114"/>
      <x:c r="Q115" s="114"/>
    </x:row>
    <x:row r="116" ht="24" customHeight="1">
      <x:c r="A116" s="122"/>
      <x:c r="B116" s="114"/>
      <x:c r="C116" s="114"/>
      <x:c r="D116" s="114"/>
      <x:c r="E116" s="126"/>
      <x:c r="F116" s="126"/>
      <x:c r="G116" s="126"/>
      <x:c r="H116" s="114"/>
      <x:c r="I116" s="126"/>
      <x:c r="J116" s="130" t="str">
        <x:f>IF(OR(E116="",F116="",H116="",I116=""),"",ABS(E116-F116)*H116*I116)</x:f>
      </x:c>
      <x:c r="K116" s="130" t="str">
        <x:f>IF(OR(D116="",E116="",G116="",H116="",I116=""),"",IF(UPPER(D116)="LONG",(G116-E116)*H116*I116,IF(UPPER(D116)="SHORT",(E116-G116)*H116*I116,"")))</x:f>
      </x:c>
      <x:c r="L116" s="126"/>
      <x:c r="M116" s="130" t="str">
        <x:f>IF(K116="","",K116-IF(L116="",0,L116))</x:f>
      </x:c>
      <x:c r="N116" s="134" t="str">
        <x:f>IF(OR(M116="",J116="",J116=0),"",M116/J116)</x:f>
      </x:c>
      <x:c r="O116" s="114"/>
      <x:c r="P116" s="114"/>
      <x:c r="Q116" s="114"/>
    </x:row>
    <x:row r="117" ht="24" customHeight="1">
      <x:c r="A117" s="122"/>
      <x:c r="B117" s="114"/>
      <x:c r="C117" s="114"/>
      <x:c r="D117" s="114"/>
      <x:c r="E117" s="126"/>
      <x:c r="F117" s="126"/>
      <x:c r="G117" s="126"/>
      <x:c r="H117" s="114"/>
      <x:c r="I117" s="126"/>
      <x:c r="J117" s="130" t="str">
        <x:f>IF(OR(E117="",F117="",H117="",I117=""),"",ABS(E117-F117)*H117*I117)</x:f>
      </x:c>
      <x:c r="K117" s="130" t="str">
        <x:f>IF(OR(D117="",E117="",G117="",H117="",I117=""),"",IF(UPPER(D117)="LONG",(G117-E117)*H117*I117,IF(UPPER(D117)="SHORT",(E117-G117)*H117*I117,"")))</x:f>
      </x:c>
      <x:c r="L117" s="126"/>
      <x:c r="M117" s="130" t="str">
        <x:f>IF(K117="","",K117-IF(L117="",0,L117))</x:f>
      </x:c>
      <x:c r="N117" s="134" t="str">
        <x:f>IF(OR(M117="",J117="",J117=0),"",M117/J117)</x:f>
      </x:c>
      <x:c r="O117" s="114"/>
      <x:c r="P117" s="114"/>
      <x:c r="Q117" s="114"/>
    </x:row>
    <x:row r="118" ht="24" customHeight="1">
      <x:c r="A118" s="122"/>
      <x:c r="B118" s="114"/>
      <x:c r="C118" s="114"/>
      <x:c r="D118" s="114"/>
      <x:c r="E118" s="126"/>
      <x:c r="F118" s="126"/>
      <x:c r="G118" s="126"/>
      <x:c r="H118" s="114"/>
      <x:c r="I118" s="126"/>
      <x:c r="J118" s="130" t="str">
        <x:f>IF(OR(E118="",F118="",H118="",I118=""),"",ABS(E118-F118)*H118*I118)</x:f>
      </x:c>
      <x:c r="K118" s="130" t="str">
        <x:f>IF(OR(D118="",E118="",G118="",H118="",I118=""),"",IF(UPPER(D118)="LONG",(G118-E118)*H118*I118,IF(UPPER(D118)="SHORT",(E118-G118)*H118*I118,"")))</x:f>
      </x:c>
      <x:c r="L118" s="126"/>
      <x:c r="M118" s="130" t="str">
        <x:f>IF(K118="","",K118-IF(L118="",0,L118))</x:f>
      </x:c>
      <x:c r="N118" s="134" t="str">
        <x:f>IF(OR(M118="",J118="",J118=0),"",M118/J118)</x:f>
      </x:c>
      <x:c r="O118" s="114"/>
      <x:c r="P118" s="114"/>
      <x:c r="Q118" s="114"/>
    </x:row>
    <x:row r="119" ht="24" customHeight="1">
      <x:c r="A119" s="122"/>
      <x:c r="B119" s="114"/>
      <x:c r="C119" s="114"/>
      <x:c r="D119" s="114"/>
      <x:c r="E119" s="126"/>
      <x:c r="F119" s="126"/>
      <x:c r="G119" s="126"/>
      <x:c r="H119" s="114"/>
      <x:c r="I119" s="126"/>
      <x:c r="J119" s="130" t="str">
        <x:f>IF(OR(E119="",F119="",H119="",I119=""),"",ABS(E119-F119)*H119*I119)</x:f>
      </x:c>
      <x:c r="K119" s="130" t="str">
        <x:f>IF(OR(D119="",E119="",G119="",H119="",I119=""),"",IF(UPPER(D119)="LONG",(G119-E119)*H119*I119,IF(UPPER(D119)="SHORT",(E119-G119)*H119*I119,"")))</x:f>
      </x:c>
      <x:c r="L119" s="126"/>
      <x:c r="M119" s="130" t="str">
        <x:f>IF(K119="","",K119-IF(L119="",0,L119))</x:f>
      </x:c>
      <x:c r="N119" s="134" t="str">
        <x:f>IF(OR(M119="",J119="",J119=0),"",M119/J119)</x:f>
      </x:c>
      <x:c r="O119" s="114"/>
      <x:c r="P119" s="114"/>
      <x:c r="Q119" s="114"/>
    </x:row>
    <x:row r="120" ht="24" customHeight="1">
      <x:c r="A120" s="122"/>
      <x:c r="B120" s="114"/>
      <x:c r="C120" s="114"/>
      <x:c r="D120" s="114"/>
      <x:c r="E120" s="126"/>
      <x:c r="F120" s="126"/>
      <x:c r="G120" s="126"/>
      <x:c r="H120" s="114"/>
      <x:c r="I120" s="126"/>
      <x:c r="J120" s="130" t="str">
        <x:f>IF(OR(E120="",F120="",H120="",I120=""),"",ABS(E120-F120)*H120*I120)</x:f>
      </x:c>
      <x:c r="K120" s="130" t="str">
        <x:f>IF(OR(D120="",E120="",G120="",H120="",I120=""),"",IF(UPPER(D120)="LONG",(G120-E120)*H120*I120,IF(UPPER(D120)="SHORT",(E120-G120)*H120*I120,"")))</x:f>
      </x:c>
      <x:c r="L120" s="126"/>
      <x:c r="M120" s="130" t="str">
        <x:f>IF(K120="","",K120-IF(L120="",0,L120))</x:f>
      </x:c>
      <x:c r="N120" s="134" t="str">
        <x:f>IF(OR(M120="",J120="",J120=0),"",M120/J120)</x:f>
      </x:c>
      <x:c r="O120" s="114"/>
      <x:c r="P120" s="114"/>
      <x:c r="Q120" s="114"/>
    </x:row>
    <x:row r="121" ht="24" customHeight="1">
      <x:c r="A121" s="122"/>
      <x:c r="B121" s="114"/>
      <x:c r="C121" s="114"/>
      <x:c r="D121" s="114"/>
      <x:c r="E121" s="126"/>
      <x:c r="F121" s="126"/>
      <x:c r="G121" s="126"/>
      <x:c r="H121" s="114"/>
      <x:c r="I121" s="126"/>
      <x:c r="J121" s="130" t="str">
        <x:f>IF(OR(E121="",F121="",H121="",I121=""),"",ABS(E121-F121)*H121*I121)</x:f>
      </x:c>
      <x:c r="K121" s="130" t="str">
        <x:f>IF(OR(D121="",E121="",G121="",H121="",I121=""),"",IF(UPPER(D121)="LONG",(G121-E121)*H121*I121,IF(UPPER(D121)="SHORT",(E121-G121)*H121*I121,"")))</x:f>
      </x:c>
      <x:c r="L121" s="126"/>
      <x:c r="M121" s="130" t="str">
        <x:f>IF(K121="","",K121-IF(L121="",0,L121))</x:f>
      </x:c>
      <x:c r="N121" s="134" t="str">
        <x:f>IF(OR(M121="",J121="",J121=0),"",M121/J121)</x:f>
      </x:c>
      <x:c r="O121" s="114"/>
      <x:c r="P121" s="114"/>
      <x:c r="Q121" s="114"/>
    </x:row>
    <x:row r="122" ht="24" customHeight="1">
      <x:c r="A122" s="122"/>
      <x:c r="B122" s="114"/>
      <x:c r="C122" s="114"/>
      <x:c r="D122" s="114"/>
      <x:c r="E122" s="126"/>
      <x:c r="F122" s="126"/>
      <x:c r="G122" s="126"/>
      <x:c r="H122" s="114"/>
      <x:c r="I122" s="126"/>
      <x:c r="J122" s="130" t="str">
        <x:f>IF(OR(E122="",F122="",H122="",I122=""),"",ABS(E122-F122)*H122*I122)</x:f>
      </x:c>
      <x:c r="K122" s="130" t="str">
        <x:f>IF(OR(D122="",E122="",G122="",H122="",I122=""),"",IF(UPPER(D122)="LONG",(G122-E122)*H122*I122,IF(UPPER(D122)="SHORT",(E122-G122)*H122*I122,"")))</x:f>
      </x:c>
      <x:c r="L122" s="126"/>
      <x:c r="M122" s="130" t="str">
        <x:f>IF(K122="","",K122-IF(L122="",0,L122))</x:f>
      </x:c>
      <x:c r="N122" s="134" t="str">
        <x:f>IF(OR(M122="",J122="",J122=0),"",M122/J122)</x:f>
      </x:c>
      <x:c r="O122" s="114"/>
      <x:c r="P122" s="114"/>
      <x:c r="Q122" s="114"/>
    </x:row>
    <x:row r="123" ht="24" customHeight="1">
      <x:c r="A123" s="122"/>
      <x:c r="B123" s="114"/>
      <x:c r="C123" s="114"/>
      <x:c r="D123" s="114"/>
      <x:c r="E123" s="126"/>
      <x:c r="F123" s="126"/>
      <x:c r="G123" s="126"/>
      <x:c r="H123" s="114"/>
      <x:c r="I123" s="126"/>
      <x:c r="J123" s="130" t="str">
        <x:f>IF(OR(E123="",F123="",H123="",I123=""),"",ABS(E123-F123)*H123*I123)</x:f>
      </x:c>
      <x:c r="K123" s="130" t="str">
        <x:f>IF(OR(D123="",E123="",G123="",H123="",I123=""),"",IF(UPPER(D123)="LONG",(G123-E123)*H123*I123,IF(UPPER(D123)="SHORT",(E123-G123)*H123*I123,"")))</x:f>
      </x:c>
      <x:c r="L123" s="126"/>
      <x:c r="M123" s="130" t="str">
        <x:f>IF(K123="","",K123-IF(L123="",0,L123))</x:f>
      </x:c>
      <x:c r="N123" s="134" t="str">
        <x:f>IF(OR(M123="",J123="",J123=0),"",M123/J123)</x:f>
      </x:c>
      <x:c r="O123" s="114"/>
      <x:c r="P123" s="114"/>
      <x:c r="Q123" s="114"/>
    </x:row>
    <x:row r="124" ht="24" customHeight="1">
      <x:c r="A124" s="122"/>
      <x:c r="B124" s="114"/>
      <x:c r="C124" s="114"/>
      <x:c r="D124" s="114"/>
      <x:c r="E124" s="126"/>
      <x:c r="F124" s="126"/>
      <x:c r="G124" s="126"/>
      <x:c r="H124" s="114"/>
      <x:c r="I124" s="126"/>
      <x:c r="J124" s="130" t="str">
        <x:f>IF(OR(E124="",F124="",H124="",I124=""),"",ABS(E124-F124)*H124*I124)</x:f>
      </x:c>
      <x:c r="K124" s="130" t="str">
        <x:f>IF(OR(D124="",E124="",G124="",H124="",I124=""),"",IF(UPPER(D124)="LONG",(G124-E124)*H124*I124,IF(UPPER(D124)="SHORT",(E124-G124)*H124*I124,"")))</x:f>
      </x:c>
      <x:c r="L124" s="126"/>
      <x:c r="M124" s="130" t="str">
        <x:f>IF(K124="","",K124-IF(L124="",0,L124))</x:f>
      </x:c>
      <x:c r="N124" s="134" t="str">
        <x:f>IF(OR(M124="",J124="",J124=0),"",M124/J124)</x:f>
      </x:c>
      <x:c r="O124" s="114"/>
      <x:c r="P124" s="114"/>
      <x:c r="Q124" s="114"/>
    </x:row>
    <x:row r="125" ht="24" customHeight="1">
      <x:c r="A125" s="122"/>
      <x:c r="B125" s="114"/>
      <x:c r="C125" s="114"/>
      <x:c r="D125" s="114"/>
      <x:c r="E125" s="126"/>
      <x:c r="F125" s="126"/>
      <x:c r="G125" s="126"/>
      <x:c r="H125" s="114"/>
      <x:c r="I125" s="126"/>
      <x:c r="J125" s="130" t="str">
        <x:f>IF(OR(E125="",F125="",H125="",I125=""),"",ABS(E125-F125)*H125*I125)</x:f>
      </x:c>
      <x:c r="K125" s="130" t="str">
        <x:f>IF(OR(D125="",E125="",G125="",H125="",I125=""),"",IF(UPPER(D125)="LONG",(G125-E125)*H125*I125,IF(UPPER(D125)="SHORT",(E125-G125)*H125*I125,"")))</x:f>
      </x:c>
      <x:c r="L125" s="126"/>
      <x:c r="M125" s="130" t="str">
        <x:f>IF(K125="","",K125-IF(L125="",0,L125))</x:f>
      </x:c>
      <x:c r="N125" s="134" t="str">
        <x:f>IF(OR(M125="",J125="",J125=0),"",M125/J125)</x:f>
      </x:c>
      <x:c r="O125" s="114"/>
      <x:c r="P125" s="114"/>
      <x:c r="Q125" s="114"/>
    </x:row>
    <x:row r="126" ht="24" customHeight="1">
      <x:c r="A126" s="122"/>
      <x:c r="B126" s="114"/>
      <x:c r="C126" s="114"/>
      <x:c r="D126" s="114"/>
      <x:c r="E126" s="126"/>
      <x:c r="F126" s="126"/>
      <x:c r="G126" s="126"/>
      <x:c r="H126" s="114"/>
      <x:c r="I126" s="126"/>
      <x:c r="J126" s="130" t="str">
        <x:f>IF(OR(E126="",F126="",H126="",I126=""),"",ABS(E126-F126)*H126*I126)</x:f>
      </x:c>
      <x:c r="K126" s="130" t="str">
        <x:f>IF(OR(D126="",E126="",G126="",H126="",I126=""),"",IF(UPPER(D126)="LONG",(G126-E126)*H126*I126,IF(UPPER(D126)="SHORT",(E126-G126)*H126*I126,"")))</x:f>
      </x:c>
      <x:c r="L126" s="126"/>
      <x:c r="M126" s="130" t="str">
        <x:f>IF(K126="","",K126-IF(L126="",0,L126))</x:f>
      </x:c>
      <x:c r="N126" s="134" t="str">
        <x:f>IF(OR(M126="",J126="",J126=0),"",M126/J126)</x:f>
      </x:c>
      <x:c r="O126" s="114"/>
      <x:c r="P126" s="114"/>
      <x:c r="Q126" s="114"/>
    </x:row>
    <x:row r="127" ht="24" customHeight="1">
      <x:c r="A127" s="122"/>
      <x:c r="B127" s="114"/>
      <x:c r="C127" s="114"/>
      <x:c r="D127" s="114"/>
      <x:c r="E127" s="126"/>
      <x:c r="F127" s="126"/>
      <x:c r="G127" s="126"/>
      <x:c r="H127" s="114"/>
      <x:c r="I127" s="126"/>
      <x:c r="J127" s="130" t="str">
        <x:f>IF(OR(E127="",F127="",H127="",I127=""),"",ABS(E127-F127)*H127*I127)</x:f>
      </x:c>
      <x:c r="K127" s="130" t="str">
        <x:f>IF(OR(D127="",E127="",G127="",H127="",I127=""),"",IF(UPPER(D127)="LONG",(G127-E127)*H127*I127,IF(UPPER(D127)="SHORT",(E127-G127)*H127*I127,"")))</x:f>
      </x:c>
      <x:c r="L127" s="126"/>
      <x:c r="M127" s="130" t="str">
        <x:f>IF(K127="","",K127-IF(L127="",0,L127))</x:f>
      </x:c>
      <x:c r="N127" s="134" t="str">
        <x:f>IF(OR(M127="",J127="",J127=0),"",M127/J127)</x:f>
      </x:c>
      <x:c r="O127" s="114"/>
      <x:c r="P127" s="114"/>
      <x:c r="Q127" s="114"/>
    </x:row>
    <x:row r="128" ht="24" customHeight="1">
      <x:c r="A128" s="122"/>
      <x:c r="B128" s="114"/>
      <x:c r="C128" s="114"/>
      <x:c r="D128" s="114"/>
      <x:c r="E128" s="126"/>
      <x:c r="F128" s="126"/>
      <x:c r="G128" s="126"/>
      <x:c r="H128" s="114"/>
      <x:c r="I128" s="126"/>
      <x:c r="J128" s="130" t="str">
        <x:f>IF(OR(E128="",F128="",H128="",I128=""),"",ABS(E128-F128)*H128*I128)</x:f>
      </x:c>
      <x:c r="K128" s="130" t="str">
        <x:f>IF(OR(D128="",E128="",G128="",H128="",I128=""),"",IF(UPPER(D128)="LONG",(G128-E128)*H128*I128,IF(UPPER(D128)="SHORT",(E128-G128)*H128*I128,"")))</x:f>
      </x:c>
      <x:c r="L128" s="126"/>
      <x:c r="M128" s="130" t="str">
        <x:f>IF(K128="","",K128-IF(L128="",0,L128))</x:f>
      </x:c>
      <x:c r="N128" s="134" t="str">
        <x:f>IF(OR(M128="",J128="",J128=0),"",M128/J128)</x:f>
      </x:c>
      <x:c r="O128" s="114"/>
      <x:c r="P128" s="114"/>
      <x:c r="Q128" s="114"/>
    </x:row>
    <x:row r="129" ht="24" customHeight="1">
      <x:c r="A129" s="122"/>
      <x:c r="B129" s="114"/>
      <x:c r="C129" s="114"/>
      <x:c r="D129" s="114"/>
      <x:c r="E129" s="126"/>
      <x:c r="F129" s="126"/>
      <x:c r="G129" s="126"/>
      <x:c r="H129" s="114"/>
      <x:c r="I129" s="126"/>
      <x:c r="J129" s="130" t="str">
        <x:f>IF(OR(E129="",F129="",H129="",I129=""),"",ABS(E129-F129)*H129*I129)</x:f>
      </x:c>
      <x:c r="K129" s="130" t="str">
        <x:f>IF(OR(D129="",E129="",G129="",H129="",I129=""),"",IF(UPPER(D129)="LONG",(G129-E129)*H129*I129,IF(UPPER(D129)="SHORT",(E129-G129)*H129*I129,"")))</x:f>
      </x:c>
      <x:c r="L129" s="126"/>
      <x:c r="M129" s="130" t="str">
        <x:f>IF(K129="","",K129-IF(L129="",0,L129))</x:f>
      </x:c>
      <x:c r="N129" s="134" t="str">
        <x:f>IF(OR(M129="",J129="",J129=0),"",M129/J129)</x:f>
      </x:c>
      <x:c r="O129" s="114"/>
      <x:c r="P129" s="114"/>
      <x:c r="Q129" s="114"/>
    </x:row>
    <x:row r="130" ht="24" customHeight="1">
      <x:c r="A130" s="122"/>
      <x:c r="B130" s="114"/>
      <x:c r="C130" s="114"/>
      <x:c r="D130" s="114"/>
      <x:c r="E130" s="126"/>
      <x:c r="F130" s="126"/>
      <x:c r="G130" s="126"/>
      <x:c r="H130" s="114"/>
      <x:c r="I130" s="126"/>
      <x:c r="J130" s="130" t="str">
        <x:f>IF(OR(E130="",F130="",H130="",I130=""),"",ABS(E130-F130)*H130*I130)</x:f>
      </x:c>
      <x:c r="K130" s="130" t="str">
        <x:f>IF(OR(D130="",E130="",G130="",H130="",I130=""),"",IF(UPPER(D130)="LONG",(G130-E130)*H130*I130,IF(UPPER(D130)="SHORT",(E130-G130)*H130*I130,"")))</x:f>
      </x:c>
      <x:c r="L130" s="126"/>
      <x:c r="M130" s="130" t="str">
        <x:f>IF(K130="","",K130-IF(L130="",0,L130))</x:f>
      </x:c>
      <x:c r="N130" s="134" t="str">
        <x:f>IF(OR(M130="",J130="",J130=0),"",M130/J130)</x:f>
      </x:c>
      <x:c r="O130" s="114"/>
      <x:c r="P130" s="114"/>
      <x:c r="Q130" s="114"/>
    </x:row>
    <x:row r="131" ht="24" customHeight="1">
      <x:c r="A131" s="122"/>
      <x:c r="B131" s="114"/>
      <x:c r="C131" s="114"/>
      <x:c r="D131" s="114"/>
      <x:c r="E131" s="126"/>
      <x:c r="F131" s="126"/>
      <x:c r="G131" s="126"/>
      <x:c r="H131" s="114"/>
      <x:c r="I131" s="126"/>
      <x:c r="J131" s="130" t="str">
        <x:f>IF(OR(E131="",F131="",H131="",I131=""),"",ABS(E131-F131)*H131*I131)</x:f>
      </x:c>
      <x:c r="K131" s="130" t="str">
        <x:f>IF(OR(D131="",E131="",G131="",H131="",I131=""),"",IF(UPPER(D131)="LONG",(G131-E131)*H131*I131,IF(UPPER(D131)="SHORT",(E131-G131)*H131*I131,"")))</x:f>
      </x:c>
      <x:c r="L131" s="126"/>
      <x:c r="M131" s="130" t="str">
        <x:f>IF(K131="","",K131-IF(L131="",0,L131))</x:f>
      </x:c>
      <x:c r="N131" s="134" t="str">
        <x:f>IF(OR(M131="",J131="",J131=0),"",M131/J131)</x:f>
      </x:c>
      <x:c r="O131" s="114"/>
      <x:c r="P131" s="114"/>
      <x:c r="Q131" s="114"/>
    </x:row>
    <x:row r="132" ht="24" customHeight="1">
      <x:c r="A132" s="122"/>
      <x:c r="B132" s="114"/>
      <x:c r="C132" s="114"/>
      <x:c r="D132" s="114"/>
      <x:c r="E132" s="126"/>
      <x:c r="F132" s="126"/>
      <x:c r="G132" s="126"/>
      <x:c r="H132" s="114"/>
      <x:c r="I132" s="126"/>
      <x:c r="J132" s="130" t="str">
        <x:f>IF(OR(E132="",F132="",H132="",I132=""),"",ABS(E132-F132)*H132*I132)</x:f>
      </x:c>
      <x:c r="K132" s="130" t="str">
        <x:f>IF(OR(D132="",E132="",G132="",H132="",I132=""),"",IF(UPPER(D132)="LONG",(G132-E132)*H132*I132,IF(UPPER(D132)="SHORT",(E132-G132)*H132*I132,"")))</x:f>
      </x:c>
      <x:c r="L132" s="126"/>
      <x:c r="M132" s="130" t="str">
        <x:f>IF(K132="","",K132-IF(L132="",0,L132))</x:f>
      </x:c>
      <x:c r="N132" s="134" t="str">
        <x:f>IF(OR(M132="",J132="",J132=0),"",M132/J132)</x:f>
      </x:c>
      <x:c r="O132" s="114"/>
      <x:c r="P132" s="114"/>
      <x:c r="Q132" s="114"/>
    </x:row>
    <x:row r="133" ht="24" customHeight="1">
      <x:c r="A133" s="122"/>
      <x:c r="B133" s="114"/>
      <x:c r="C133" s="114"/>
      <x:c r="D133" s="114"/>
      <x:c r="E133" s="126"/>
      <x:c r="F133" s="126"/>
      <x:c r="G133" s="126"/>
      <x:c r="H133" s="114"/>
      <x:c r="I133" s="126"/>
      <x:c r="J133" s="130" t="str">
        <x:f>IF(OR(E133="",F133="",H133="",I133=""),"",ABS(E133-F133)*H133*I133)</x:f>
      </x:c>
      <x:c r="K133" s="130" t="str">
        <x:f>IF(OR(D133="",E133="",G133="",H133="",I133=""),"",IF(UPPER(D133)="LONG",(G133-E133)*H133*I133,IF(UPPER(D133)="SHORT",(E133-G133)*H133*I133,"")))</x:f>
      </x:c>
      <x:c r="L133" s="126"/>
      <x:c r="M133" s="130" t="str">
        <x:f>IF(K133="","",K133-IF(L133="",0,L133))</x:f>
      </x:c>
      <x:c r="N133" s="134" t="str">
        <x:f>IF(OR(M133="",J133="",J133=0),"",M133/J133)</x:f>
      </x:c>
      <x:c r="O133" s="114"/>
      <x:c r="P133" s="114"/>
      <x:c r="Q133" s="114"/>
    </x:row>
    <x:row r="134" ht="24" customHeight="1">
      <x:c r="A134" s="122"/>
      <x:c r="B134" s="114"/>
      <x:c r="C134" s="114"/>
      <x:c r="D134" s="114"/>
      <x:c r="E134" s="126"/>
      <x:c r="F134" s="126"/>
      <x:c r="G134" s="126"/>
      <x:c r="H134" s="114"/>
      <x:c r="I134" s="126"/>
      <x:c r="J134" s="130" t="str">
        <x:f>IF(OR(E134="",F134="",H134="",I134=""),"",ABS(E134-F134)*H134*I134)</x:f>
      </x:c>
      <x:c r="K134" s="130" t="str">
        <x:f>IF(OR(D134="",E134="",G134="",H134="",I134=""),"",IF(UPPER(D134)="LONG",(G134-E134)*H134*I134,IF(UPPER(D134)="SHORT",(E134-G134)*H134*I134,"")))</x:f>
      </x:c>
      <x:c r="L134" s="126"/>
      <x:c r="M134" s="130" t="str">
        <x:f>IF(K134="","",K134-IF(L134="",0,L134))</x:f>
      </x:c>
      <x:c r="N134" s="134" t="str">
        <x:f>IF(OR(M134="",J134="",J134=0),"",M134/J134)</x:f>
      </x:c>
      <x:c r="O134" s="114"/>
      <x:c r="P134" s="114"/>
      <x:c r="Q134" s="114"/>
    </x:row>
    <x:row r="135" ht="24" customHeight="1">
      <x:c r="A135" s="122"/>
      <x:c r="B135" s="114"/>
      <x:c r="C135" s="114"/>
      <x:c r="D135" s="114"/>
      <x:c r="E135" s="126"/>
      <x:c r="F135" s="126"/>
      <x:c r="G135" s="126"/>
      <x:c r="H135" s="114"/>
      <x:c r="I135" s="126"/>
      <x:c r="J135" s="130" t="str">
        <x:f>IF(OR(E135="",F135="",H135="",I135=""),"",ABS(E135-F135)*H135*I135)</x:f>
      </x:c>
      <x:c r="K135" s="130" t="str">
        <x:f>IF(OR(D135="",E135="",G135="",H135="",I135=""),"",IF(UPPER(D135)="LONG",(G135-E135)*H135*I135,IF(UPPER(D135)="SHORT",(E135-G135)*H135*I135,"")))</x:f>
      </x:c>
      <x:c r="L135" s="126"/>
      <x:c r="M135" s="130" t="str">
        <x:f>IF(K135="","",K135-IF(L135="",0,L135))</x:f>
      </x:c>
      <x:c r="N135" s="134" t="str">
        <x:f>IF(OR(M135="",J135="",J135=0),"",M135/J135)</x:f>
      </x:c>
      <x:c r="O135" s="114"/>
      <x:c r="P135" s="114"/>
      <x:c r="Q135" s="114"/>
    </x:row>
    <x:row r="136" ht="24" customHeight="1">
      <x:c r="A136" s="122"/>
      <x:c r="B136" s="114"/>
      <x:c r="C136" s="114"/>
      <x:c r="D136" s="114"/>
      <x:c r="E136" s="126"/>
      <x:c r="F136" s="126"/>
      <x:c r="G136" s="126"/>
      <x:c r="H136" s="114"/>
      <x:c r="I136" s="126"/>
      <x:c r="J136" s="130" t="str">
        <x:f>IF(OR(E136="",F136="",H136="",I136=""),"",ABS(E136-F136)*H136*I136)</x:f>
      </x:c>
      <x:c r="K136" s="130" t="str">
        <x:f>IF(OR(D136="",E136="",G136="",H136="",I136=""),"",IF(UPPER(D136)="LONG",(G136-E136)*H136*I136,IF(UPPER(D136)="SHORT",(E136-G136)*H136*I136,"")))</x:f>
      </x:c>
      <x:c r="L136" s="126"/>
      <x:c r="M136" s="130" t="str">
        <x:f>IF(K136="","",K136-IF(L136="",0,L136))</x:f>
      </x:c>
      <x:c r="N136" s="134" t="str">
        <x:f>IF(OR(M136="",J136="",J136=0),"",M136/J136)</x:f>
      </x:c>
      <x:c r="O136" s="114"/>
      <x:c r="P136" s="114"/>
      <x:c r="Q136" s="114"/>
    </x:row>
    <x:row r="137" ht="24" customHeight="1">
      <x:c r="A137" s="122"/>
      <x:c r="B137" s="114"/>
      <x:c r="C137" s="114"/>
      <x:c r="D137" s="114"/>
      <x:c r="E137" s="126"/>
      <x:c r="F137" s="126"/>
      <x:c r="G137" s="126"/>
      <x:c r="H137" s="114"/>
      <x:c r="I137" s="126"/>
      <x:c r="J137" s="130" t="str">
        <x:f>IF(OR(E137="",F137="",H137="",I137=""),"",ABS(E137-F137)*H137*I137)</x:f>
      </x:c>
      <x:c r="K137" s="130" t="str">
        <x:f>IF(OR(D137="",E137="",G137="",H137="",I137=""),"",IF(UPPER(D137)="LONG",(G137-E137)*H137*I137,IF(UPPER(D137)="SHORT",(E137-G137)*H137*I137,"")))</x:f>
      </x:c>
      <x:c r="L137" s="126"/>
      <x:c r="M137" s="130" t="str">
        <x:f>IF(K137="","",K137-IF(L137="",0,L137))</x:f>
      </x:c>
      <x:c r="N137" s="134" t="str">
        <x:f>IF(OR(M137="",J137="",J137=0),"",M137/J137)</x:f>
      </x:c>
      <x:c r="O137" s="114"/>
      <x:c r="P137" s="114"/>
      <x:c r="Q137" s="114"/>
    </x:row>
    <x:row r="138" ht="24" customHeight="1">
      <x:c r="A138" s="122"/>
      <x:c r="B138" s="114"/>
      <x:c r="C138" s="114"/>
      <x:c r="D138" s="114"/>
      <x:c r="E138" s="126"/>
      <x:c r="F138" s="126"/>
      <x:c r="G138" s="126"/>
      <x:c r="H138" s="114"/>
      <x:c r="I138" s="126"/>
      <x:c r="J138" s="130" t="str">
        <x:f>IF(OR(E138="",F138="",H138="",I138=""),"",ABS(E138-F138)*H138*I138)</x:f>
      </x:c>
      <x:c r="K138" s="130" t="str">
        <x:f>IF(OR(D138="",E138="",G138="",H138="",I138=""),"",IF(UPPER(D138)="LONG",(G138-E138)*H138*I138,IF(UPPER(D138)="SHORT",(E138-G138)*H138*I138,"")))</x:f>
      </x:c>
      <x:c r="L138" s="126"/>
      <x:c r="M138" s="130" t="str">
        <x:f>IF(K138="","",K138-IF(L138="",0,L138))</x:f>
      </x:c>
      <x:c r="N138" s="134" t="str">
        <x:f>IF(OR(M138="",J138="",J138=0),"",M138/J138)</x:f>
      </x:c>
      <x:c r="O138" s="114"/>
      <x:c r="P138" s="114"/>
      <x:c r="Q138" s="114"/>
    </x:row>
    <x:row r="139" ht="24" customHeight="1">
      <x:c r="A139" s="122"/>
      <x:c r="B139" s="114"/>
      <x:c r="C139" s="114"/>
      <x:c r="D139" s="114"/>
      <x:c r="E139" s="126"/>
      <x:c r="F139" s="126"/>
      <x:c r="G139" s="126"/>
      <x:c r="H139" s="114"/>
      <x:c r="I139" s="126"/>
      <x:c r="J139" s="130" t="str">
        <x:f>IF(OR(E139="",F139="",H139="",I139=""),"",ABS(E139-F139)*H139*I139)</x:f>
      </x:c>
      <x:c r="K139" s="130" t="str">
        <x:f>IF(OR(D139="",E139="",G139="",H139="",I139=""),"",IF(UPPER(D139)="LONG",(G139-E139)*H139*I139,IF(UPPER(D139)="SHORT",(E139-G139)*H139*I139,"")))</x:f>
      </x:c>
      <x:c r="L139" s="126"/>
      <x:c r="M139" s="130" t="str">
        <x:f>IF(K139="","",K139-IF(L139="",0,L139))</x:f>
      </x:c>
      <x:c r="N139" s="134" t="str">
        <x:f>IF(OR(M139="",J139="",J139=0),"",M139/J139)</x:f>
      </x:c>
      <x:c r="O139" s="114"/>
      <x:c r="P139" s="114"/>
      <x:c r="Q139" s="114"/>
    </x:row>
    <x:row r="140" ht="24" customHeight="1">
      <x:c r="A140" s="122"/>
      <x:c r="B140" s="114"/>
      <x:c r="C140" s="114"/>
      <x:c r="D140" s="114"/>
      <x:c r="E140" s="126"/>
      <x:c r="F140" s="126"/>
      <x:c r="G140" s="126"/>
      <x:c r="H140" s="114"/>
      <x:c r="I140" s="126"/>
      <x:c r="J140" s="130" t="str">
        <x:f>IF(OR(E140="",F140="",H140="",I140=""),"",ABS(E140-F140)*H140*I140)</x:f>
      </x:c>
      <x:c r="K140" s="130" t="str">
        <x:f>IF(OR(D140="",E140="",G140="",H140="",I140=""),"",IF(UPPER(D140)="LONG",(G140-E140)*H140*I140,IF(UPPER(D140)="SHORT",(E140-G140)*H140*I140,"")))</x:f>
      </x:c>
      <x:c r="L140" s="126"/>
      <x:c r="M140" s="130" t="str">
        <x:f>IF(K140="","",K140-IF(L140="",0,L140))</x:f>
      </x:c>
      <x:c r="N140" s="134" t="str">
        <x:f>IF(OR(M140="",J140="",J140=0),"",M140/J140)</x:f>
      </x:c>
      <x:c r="O140" s="114"/>
      <x:c r="P140" s="114"/>
      <x:c r="Q140" s="114"/>
    </x:row>
    <x:row r="141" ht="24" customHeight="1">
      <x:c r="A141" s="122"/>
      <x:c r="B141" s="114"/>
      <x:c r="C141" s="114"/>
      <x:c r="D141" s="114"/>
      <x:c r="E141" s="126"/>
      <x:c r="F141" s="126"/>
      <x:c r="G141" s="126"/>
      <x:c r="H141" s="114"/>
      <x:c r="I141" s="126"/>
      <x:c r="J141" s="130" t="str">
        <x:f>IF(OR(E141="",F141="",H141="",I141=""),"",ABS(E141-F141)*H141*I141)</x:f>
      </x:c>
      <x:c r="K141" s="130" t="str">
        <x:f>IF(OR(D141="",E141="",G141="",H141="",I141=""),"",IF(UPPER(D141)="LONG",(G141-E141)*H141*I141,IF(UPPER(D141)="SHORT",(E141-G141)*H141*I141,"")))</x:f>
      </x:c>
      <x:c r="L141" s="126"/>
      <x:c r="M141" s="130" t="str">
        <x:f>IF(K141="","",K141-IF(L141="",0,L141))</x:f>
      </x:c>
      <x:c r="N141" s="134" t="str">
        <x:f>IF(OR(M141="",J141="",J141=0),"",M141/J141)</x:f>
      </x:c>
      <x:c r="O141" s="114"/>
      <x:c r="P141" s="114"/>
      <x:c r="Q141" s="114"/>
    </x:row>
    <x:row r="142" ht="24" customHeight="1">
      <x:c r="A142" s="122"/>
      <x:c r="B142" s="114"/>
      <x:c r="C142" s="114"/>
      <x:c r="D142" s="114"/>
      <x:c r="E142" s="126"/>
      <x:c r="F142" s="126"/>
      <x:c r="G142" s="126"/>
      <x:c r="H142" s="114"/>
      <x:c r="I142" s="126"/>
      <x:c r="J142" s="130" t="str">
        <x:f>IF(OR(E142="",F142="",H142="",I142=""),"",ABS(E142-F142)*H142*I142)</x:f>
      </x:c>
      <x:c r="K142" s="130" t="str">
        <x:f>IF(OR(D142="",E142="",G142="",H142="",I142=""),"",IF(UPPER(D142)="LONG",(G142-E142)*H142*I142,IF(UPPER(D142)="SHORT",(E142-G142)*H142*I142,"")))</x:f>
      </x:c>
      <x:c r="L142" s="126"/>
      <x:c r="M142" s="130" t="str">
        <x:f>IF(K142="","",K142-IF(L142="",0,L142))</x:f>
      </x:c>
      <x:c r="N142" s="134" t="str">
        <x:f>IF(OR(M142="",J142="",J142=0),"",M142/J142)</x:f>
      </x:c>
      <x:c r="O142" s="114"/>
      <x:c r="P142" s="114"/>
      <x:c r="Q142" s="114"/>
    </x:row>
    <x:row r="143" ht="24" customHeight="1">
      <x:c r="A143" s="122"/>
      <x:c r="B143" s="114"/>
      <x:c r="C143" s="114"/>
      <x:c r="D143" s="114"/>
      <x:c r="E143" s="126"/>
      <x:c r="F143" s="126"/>
      <x:c r="G143" s="126"/>
      <x:c r="H143" s="114"/>
      <x:c r="I143" s="126"/>
      <x:c r="J143" s="130" t="str">
        <x:f>IF(OR(E143="",F143="",H143="",I143=""),"",ABS(E143-F143)*H143*I143)</x:f>
      </x:c>
      <x:c r="K143" s="130" t="str">
        <x:f>IF(OR(D143="",E143="",G143="",H143="",I143=""),"",IF(UPPER(D143)="LONG",(G143-E143)*H143*I143,IF(UPPER(D143)="SHORT",(E143-G143)*H143*I143,"")))</x:f>
      </x:c>
      <x:c r="L143" s="126"/>
      <x:c r="M143" s="130" t="str">
        <x:f>IF(K143="","",K143-IF(L143="",0,L143))</x:f>
      </x:c>
      <x:c r="N143" s="134" t="str">
        <x:f>IF(OR(M143="",J143="",J143=0),"",M143/J143)</x:f>
      </x:c>
      <x:c r="O143" s="114"/>
      <x:c r="P143" s="114"/>
      <x:c r="Q143" s="114"/>
    </x:row>
    <x:row r="144" ht="24" customHeight="1">
      <x:c r="A144" s="122"/>
      <x:c r="B144" s="114"/>
      <x:c r="C144" s="114"/>
      <x:c r="D144" s="114"/>
      <x:c r="E144" s="126"/>
      <x:c r="F144" s="126"/>
      <x:c r="G144" s="126"/>
      <x:c r="H144" s="114"/>
      <x:c r="I144" s="126"/>
      <x:c r="J144" s="130" t="str">
        <x:f>IF(OR(E144="",F144="",H144="",I144=""),"",ABS(E144-F144)*H144*I144)</x:f>
      </x:c>
      <x:c r="K144" s="130" t="str">
        <x:f>IF(OR(D144="",E144="",G144="",H144="",I144=""),"",IF(UPPER(D144)="LONG",(G144-E144)*H144*I144,IF(UPPER(D144)="SHORT",(E144-G144)*H144*I144,"")))</x:f>
      </x:c>
      <x:c r="L144" s="126"/>
      <x:c r="M144" s="130" t="str">
        <x:f>IF(K144="","",K144-IF(L144="",0,L144))</x:f>
      </x:c>
      <x:c r="N144" s="134" t="str">
        <x:f>IF(OR(M144="",J144="",J144=0),"",M144/J144)</x:f>
      </x:c>
      <x:c r="O144" s="114"/>
      <x:c r="P144" s="114"/>
      <x:c r="Q144" s="114"/>
    </x:row>
    <x:row r="145" ht="24" customHeight="1">
      <x:c r="A145" s="122"/>
      <x:c r="B145" s="114"/>
      <x:c r="C145" s="114"/>
      <x:c r="D145" s="114"/>
      <x:c r="E145" s="126"/>
      <x:c r="F145" s="126"/>
      <x:c r="G145" s="126"/>
      <x:c r="H145" s="114"/>
      <x:c r="I145" s="126"/>
      <x:c r="J145" s="130" t="str">
        <x:f>IF(OR(E145="",F145="",H145="",I145=""),"",ABS(E145-F145)*H145*I145)</x:f>
      </x:c>
      <x:c r="K145" s="130" t="str">
        <x:f>IF(OR(D145="",E145="",G145="",H145="",I145=""),"",IF(UPPER(D145)="LONG",(G145-E145)*H145*I145,IF(UPPER(D145)="SHORT",(E145-G145)*H145*I145,"")))</x:f>
      </x:c>
      <x:c r="L145" s="126"/>
      <x:c r="M145" s="130" t="str">
        <x:f>IF(K145="","",K145-IF(L145="",0,L145))</x:f>
      </x:c>
      <x:c r="N145" s="134" t="str">
        <x:f>IF(OR(M145="",J145="",J145=0),"",M145/J145)</x:f>
      </x:c>
      <x:c r="O145" s="114"/>
      <x:c r="P145" s="114"/>
      <x:c r="Q145" s="114"/>
    </x:row>
    <x:row r="146" ht="24" customHeight="1">
      <x:c r="A146" s="122"/>
      <x:c r="B146" s="114"/>
      <x:c r="C146" s="114"/>
      <x:c r="D146" s="114"/>
      <x:c r="E146" s="126"/>
      <x:c r="F146" s="126"/>
      <x:c r="G146" s="126"/>
      <x:c r="H146" s="114"/>
      <x:c r="I146" s="126"/>
      <x:c r="J146" s="130" t="str">
        <x:f>IF(OR(E146="",F146="",H146="",I146=""),"",ABS(E146-F146)*H146*I146)</x:f>
      </x:c>
      <x:c r="K146" s="130" t="str">
        <x:f>IF(OR(D146="",E146="",G146="",H146="",I146=""),"",IF(UPPER(D146)="LONG",(G146-E146)*H146*I146,IF(UPPER(D146)="SHORT",(E146-G146)*H146*I146,"")))</x:f>
      </x:c>
      <x:c r="L146" s="126"/>
      <x:c r="M146" s="130" t="str">
        <x:f>IF(K146="","",K146-IF(L146="",0,L146))</x:f>
      </x:c>
      <x:c r="N146" s="134" t="str">
        <x:f>IF(OR(M146="",J146="",J146=0),"",M146/J146)</x:f>
      </x:c>
      <x:c r="O146" s="114"/>
      <x:c r="P146" s="114"/>
      <x:c r="Q146" s="114"/>
    </x:row>
    <x:row r="147" ht="24" customHeight="1">
      <x:c r="A147" s="122"/>
      <x:c r="B147" s="114"/>
      <x:c r="C147" s="114"/>
      <x:c r="D147" s="114"/>
      <x:c r="E147" s="126"/>
      <x:c r="F147" s="126"/>
      <x:c r="G147" s="126"/>
      <x:c r="H147" s="114"/>
      <x:c r="I147" s="126"/>
      <x:c r="J147" s="130" t="str">
        <x:f>IF(OR(E147="",F147="",H147="",I147=""),"",ABS(E147-F147)*H147*I147)</x:f>
      </x:c>
      <x:c r="K147" s="130" t="str">
        <x:f>IF(OR(D147="",E147="",G147="",H147="",I147=""),"",IF(UPPER(D147)="LONG",(G147-E147)*H147*I147,IF(UPPER(D147)="SHORT",(E147-G147)*H147*I147,"")))</x:f>
      </x:c>
      <x:c r="L147" s="126"/>
      <x:c r="M147" s="130" t="str">
        <x:f>IF(K147="","",K147-IF(L147="",0,L147))</x:f>
      </x:c>
      <x:c r="N147" s="134" t="str">
        <x:f>IF(OR(M147="",J147="",J147=0),"",M147/J147)</x:f>
      </x:c>
      <x:c r="O147" s="114"/>
      <x:c r="P147" s="114"/>
      <x:c r="Q147" s="114"/>
    </x:row>
    <x:row r="148" ht="24" customHeight="1">
      <x:c r="A148" s="122"/>
      <x:c r="B148" s="114"/>
      <x:c r="C148" s="114"/>
      <x:c r="D148" s="114"/>
      <x:c r="E148" s="126"/>
      <x:c r="F148" s="126"/>
      <x:c r="G148" s="126"/>
      <x:c r="H148" s="114"/>
      <x:c r="I148" s="126"/>
      <x:c r="J148" s="130" t="str">
        <x:f>IF(OR(E148="",F148="",H148="",I148=""),"",ABS(E148-F148)*H148*I148)</x:f>
      </x:c>
      <x:c r="K148" s="130" t="str">
        <x:f>IF(OR(D148="",E148="",G148="",H148="",I148=""),"",IF(UPPER(D148)="LONG",(G148-E148)*H148*I148,IF(UPPER(D148)="SHORT",(E148-G148)*H148*I148,"")))</x:f>
      </x:c>
      <x:c r="L148" s="126"/>
      <x:c r="M148" s="130" t="str">
        <x:f>IF(K148="","",K148-IF(L148="",0,L148))</x:f>
      </x:c>
      <x:c r="N148" s="134" t="str">
        <x:f>IF(OR(M148="",J148="",J148=0),"",M148/J148)</x:f>
      </x:c>
      <x:c r="O148" s="114"/>
      <x:c r="P148" s="114"/>
      <x:c r="Q148" s="114"/>
    </x:row>
    <x:row r="149" ht="24" customHeight="1">
      <x:c r="A149" s="122"/>
      <x:c r="B149" s="114"/>
      <x:c r="C149" s="114"/>
      <x:c r="D149" s="114"/>
      <x:c r="E149" s="126"/>
      <x:c r="F149" s="126"/>
      <x:c r="G149" s="126"/>
      <x:c r="H149" s="114"/>
      <x:c r="I149" s="126"/>
      <x:c r="J149" s="130" t="str">
        <x:f>IF(OR(E149="",F149="",H149="",I149=""),"",ABS(E149-F149)*H149*I149)</x:f>
      </x:c>
      <x:c r="K149" s="130" t="str">
        <x:f>IF(OR(D149="",E149="",G149="",H149="",I149=""),"",IF(UPPER(D149)="LONG",(G149-E149)*H149*I149,IF(UPPER(D149)="SHORT",(E149-G149)*H149*I149,"")))</x:f>
      </x:c>
      <x:c r="L149" s="126"/>
      <x:c r="M149" s="130" t="str">
        <x:f>IF(K149="","",K149-IF(L149="",0,L149))</x:f>
      </x:c>
      <x:c r="N149" s="134" t="str">
        <x:f>IF(OR(M149="",J149="",J149=0),"",M149/J149)</x:f>
      </x:c>
      <x:c r="O149" s="114"/>
      <x:c r="P149" s="114"/>
      <x:c r="Q149" s="114"/>
    </x:row>
    <x:row r="150" ht="24" customHeight="1">
      <x:c r="A150" s="122"/>
      <x:c r="B150" s="114"/>
      <x:c r="C150" s="114"/>
      <x:c r="D150" s="114"/>
      <x:c r="E150" s="126"/>
      <x:c r="F150" s="126"/>
      <x:c r="G150" s="126"/>
      <x:c r="H150" s="114"/>
      <x:c r="I150" s="126"/>
      <x:c r="J150" s="130" t="str">
        <x:f>IF(OR(E150="",F150="",H150="",I150=""),"",ABS(E150-F150)*H150*I150)</x:f>
      </x:c>
      <x:c r="K150" s="130" t="str">
        <x:f>IF(OR(D150="",E150="",G150="",H150="",I150=""),"",IF(UPPER(D150)="LONG",(G150-E150)*H150*I150,IF(UPPER(D150)="SHORT",(E150-G150)*H150*I150,"")))</x:f>
      </x:c>
      <x:c r="L150" s="126"/>
      <x:c r="M150" s="130" t="str">
        <x:f>IF(K150="","",K150-IF(L150="",0,L150))</x:f>
      </x:c>
      <x:c r="N150" s="134" t="str">
        <x:f>IF(OR(M150="",J150="",J150=0),"",M150/J150)</x:f>
      </x:c>
      <x:c r="O150" s="114"/>
      <x:c r="P150" s="114"/>
      <x:c r="Q150" s="114"/>
    </x:row>
    <x:row r="151" ht="24" customHeight="1">
      <x:c r="A151" s="122"/>
      <x:c r="B151" s="114"/>
      <x:c r="C151" s="114"/>
      <x:c r="D151" s="114"/>
      <x:c r="E151" s="126"/>
      <x:c r="F151" s="126"/>
      <x:c r="G151" s="126"/>
      <x:c r="H151" s="114"/>
      <x:c r="I151" s="126"/>
      <x:c r="J151" s="130" t="str">
        <x:f>IF(OR(E151="",F151="",H151="",I151=""),"",ABS(E151-F151)*H151*I151)</x:f>
      </x:c>
      <x:c r="K151" s="130" t="str">
        <x:f>IF(OR(D151="",E151="",G151="",H151="",I151=""),"",IF(UPPER(D151)="LONG",(G151-E151)*H151*I151,IF(UPPER(D151)="SHORT",(E151-G151)*H151*I151,"")))</x:f>
      </x:c>
      <x:c r="L151" s="126"/>
      <x:c r="M151" s="130" t="str">
        <x:f>IF(K151="","",K151-IF(L151="",0,L151))</x:f>
      </x:c>
      <x:c r="N151" s="134" t="str">
        <x:f>IF(OR(M151="",J151="",J151=0),"",M151/J151)</x:f>
      </x:c>
      <x:c r="O151" s="114"/>
      <x:c r="P151" s="114"/>
      <x:c r="Q151" s="114"/>
    </x:row>
    <x:row r="152" ht="24" customHeight="1">
      <x:c r="A152" s="122"/>
      <x:c r="B152" s="114"/>
      <x:c r="C152" s="114"/>
      <x:c r="D152" s="114"/>
      <x:c r="E152" s="126"/>
      <x:c r="F152" s="126"/>
      <x:c r="G152" s="126"/>
      <x:c r="H152" s="114"/>
      <x:c r="I152" s="126"/>
      <x:c r="J152" s="130" t="str">
        <x:f>IF(OR(E152="",F152="",H152="",I152=""),"",ABS(E152-F152)*H152*I152)</x:f>
      </x:c>
      <x:c r="K152" s="130" t="str">
        <x:f>IF(OR(D152="",E152="",G152="",H152="",I152=""),"",IF(UPPER(D152)="LONG",(G152-E152)*H152*I152,IF(UPPER(D152)="SHORT",(E152-G152)*H152*I152,"")))</x:f>
      </x:c>
      <x:c r="L152" s="126"/>
      <x:c r="M152" s="130" t="str">
        <x:f>IF(K152="","",K152-IF(L152="",0,L152))</x:f>
      </x:c>
      <x:c r="N152" s="134" t="str">
        <x:f>IF(OR(M152="",J152="",J152=0),"",M152/J152)</x:f>
      </x:c>
      <x:c r="O152" s="114"/>
      <x:c r="P152" s="114"/>
      <x:c r="Q152" s="114"/>
    </x:row>
    <x:row r="153" ht="24" customHeight="1">
      <x:c r="A153" s="122"/>
      <x:c r="B153" s="114"/>
      <x:c r="C153" s="114"/>
      <x:c r="D153" s="114"/>
      <x:c r="E153" s="126"/>
      <x:c r="F153" s="126"/>
      <x:c r="G153" s="126"/>
      <x:c r="H153" s="114"/>
      <x:c r="I153" s="126"/>
      <x:c r="J153" s="130" t="str">
        <x:f>IF(OR(E153="",F153="",H153="",I153=""),"",ABS(E153-F153)*H153*I153)</x:f>
      </x:c>
      <x:c r="K153" s="130" t="str">
        <x:f>IF(OR(D153="",E153="",G153="",H153="",I153=""),"",IF(UPPER(D153)="LONG",(G153-E153)*H153*I153,IF(UPPER(D153)="SHORT",(E153-G153)*H153*I153,"")))</x:f>
      </x:c>
      <x:c r="L153" s="126"/>
      <x:c r="M153" s="130" t="str">
        <x:f>IF(K153="","",K153-IF(L153="",0,L153))</x:f>
      </x:c>
      <x:c r="N153" s="134" t="str">
        <x:f>IF(OR(M153="",J153="",J153=0),"",M153/J153)</x:f>
      </x:c>
      <x:c r="O153" s="114"/>
      <x:c r="P153" s="114"/>
      <x:c r="Q153" s="114"/>
    </x:row>
    <x:row r="154" ht="24" customHeight="1">
      <x:c r="A154" s="122"/>
      <x:c r="B154" s="114"/>
      <x:c r="C154" s="114"/>
      <x:c r="D154" s="114"/>
      <x:c r="E154" s="126"/>
      <x:c r="F154" s="126"/>
      <x:c r="G154" s="126"/>
      <x:c r="H154" s="114"/>
      <x:c r="I154" s="126"/>
      <x:c r="J154" s="130" t="str">
        <x:f>IF(OR(E154="",F154="",H154="",I154=""),"",ABS(E154-F154)*H154*I154)</x:f>
      </x:c>
      <x:c r="K154" s="130" t="str">
        <x:f>IF(OR(D154="",E154="",G154="",H154="",I154=""),"",IF(UPPER(D154)="LONG",(G154-E154)*H154*I154,IF(UPPER(D154)="SHORT",(E154-G154)*H154*I154,"")))</x:f>
      </x:c>
      <x:c r="L154" s="126"/>
      <x:c r="M154" s="130" t="str">
        <x:f>IF(K154="","",K154-IF(L154="",0,L154))</x:f>
      </x:c>
      <x:c r="N154" s="134" t="str">
        <x:f>IF(OR(M154="",J154="",J154=0),"",M154/J154)</x:f>
      </x:c>
      <x:c r="O154" s="114"/>
      <x:c r="P154" s="114"/>
      <x:c r="Q154" s="114"/>
    </x:row>
    <x:row r="155" ht="24" customHeight="1">
      <x:c r="A155" s="122"/>
      <x:c r="B155" s="114"/>
      <x:c r="C155" s="114"/>
      <x:c r="D155" s="114"/>
      <x:c r="E155" s="126"/>
      <x:c r="F155" s="126"/>
      <x:c r="G155" s="126"/>
      <x:c r="H155" s="114"/>
      <x:c r="I155" s="126"/>
      <x:c r="J155" s="130" t="str">
        <x:f>IF(OR(E155="",F155="",H155="",I155=""),"",ABS(E155-F155)*H155*I155)</x:f>
      </x:c>
      <x:c r="K155" s="130" t="str">
        <x:f>IF(OR(D155="",E155="",G155="",H155="",I155=""),"",IF(UPPER(D155)="LONG",(G155-E155)*H155*I155,IF(UPPER(D155)="SHORT",(E155-G155)*H155*I155,"")))</x:f>
      </x:c>
      <x:c r="L155" s="126"/>
      <x:c r="M155" s="130" t="str">
        <x:f>IF(K155="","",K155-IF(L155="",0,L155))</x:f>
      </x:c>
      <x:c r="N155" s="134" t="str">
        <x:f>IF(OR(M155="",J155="",J155=0),"",M155/J155)</x:f>
      </x:c>
      <x:c r="O155" s="114"/>
      <x:c r="P155" s="114"/>
      <x:c r="Q155" s="114"/>
    </x:row>
    <x:row r="156" ht="24" customHeight="1">
      <x:c r="A156" s="122"/>
      <x:c r="B156" s="114"/>
      <x:c r="C156" s="114"/>
      <x:c r="D156" s="114"/>
      <x:c r="E156" s="126"/>
      <x:c r="F156" s="126"/>
      <x:c r="G156" s="126"/>
      <x:c r="H156" s="114"/>
      <x:c r="I156" s="126"/>
      <x:c r="J156" s="130" t="str">
        <x:f>IF(OR(E156="",F156="",H156="",I156=""),"",ABS(E156-F156)*H156*I156)</x:f>
      </x:c>
      <x:c r="K156" s="130" t="str">
        <x:f>IF(OR(D156="",E156="",G156="",H156="",I156=""),"",IF(UPPER(D156)="LONG",(G156-E156)*H156*I156,IF(UPPER(D156)="SHORT",(E156-G156)*H156*I156,"")))</x:f>
      </x:c>
      <x:c r="L156" s="126"/>
      <x:c r="M156" s="130" t="str">
        <x:f>IF(K156="","",K156-IF(L156="",0,L156))</x:f>
      </x:c>
      <x:c r="N156" s="134" t="str">
        <x:f>IF(OR(M156="",J156="",J156=0),"",M156/J156)</x:f>
      </x:c>
      <x:c r="O156" s="114"/>
      <x:c r="P156" s="114"/>
      <x:c r="Q156" s="114"/>
    </x:row>
    <x:row r="157" ht="24" customHeight="1">
      <x:c r="A157" s="122"/>
      <x:c r="B157" s="114"/>
      <x:c r="C157" s="114"/>
      <x:c r="D157" s="114"/>
      <x:c r="E157" s="126"/>
      <x:c r="F157" s="126"/>
      <x:c r="G157" s="126"/>
      <x:c r="H157" s="114"/>
      <x:c r="I157" s="126"/>
      <x:c r="J157" s="130" t="str">
        <x:f>IF(OR(E157="",F157="",H157="",I157=""),"",ABS(E157-F157)*H157*I157)</x:f>
      </x:c>
      <x:c r="K157" s="130" t="str">
        <x:f>IF(OR(D157="",E157="",G157="",H157="",I157=""),"",IF(UPPER(D157)="LONG",(G157-E157)*H157*I157,IF(UPPER(D157)="SHORT",(E157-G157)*H157*I157,"")))</x:f>
      </x:c>
      <x:c r="L157" s="126"/>
      <x:c r="M157" s="130" t="str">
        <x:f>IF(K157="","",K157-IF(L157="",0,L157))</x:f>
      </x:c>
      <x:c r="N157" s="134" t="str">
        <x:f>IF(OR(M157="",J157="",J157=0),"",M157/J157)</x:f>
      </x:c>
      <x:c r="O157" s="114"/>
      <x:c r="P157" s="114"/>
      <x:c r="Q157" s="114"/>
    </x:row>
    <x:row r="158" ht="24" customHeight="1">
      <x:c r="A158" s="122"/>
      <x:c r="B158" s="114"/>
      <x:c r="C158" s="114"/>
      <x:c r="D158" s="114"/>
      <x:c r="E158" s="126"/>
      <x:c r="F158" s="126"/>
      <x:c r="G158" s="126"/>
      <x:c r="H158" s="114"/>
      <x:c r="I158" s="126"/>
      <x:c r="J158" s="130" t="str">
        <x:f>IF(OR(E158="",F158="",H158="",I158=""),"",ABS(E158-F158)*H158*I158)</x:f>
      </x:c>
      <x:c r="K158" s="130" t="str">
        <x:f>IF(OR(D158="",E158="",G158="",H158="",I158=""),"",IF(UPPER(D158)="LONG",(G158-E158)*H158*I158,IF(UPPER(D158)="SHORT",(E158-G158)*H158*I158,"")))</x:f>
      </x:c>
      <x:c r="L158" s="126"/>
      <x:c r="M158" s="130" t="str">
        <x:f>IF(K158="","",K158-IF(L158="",0,L158))</x:f>
      </x:c>
      <x:c r="N158" s="134" t="str">
        <x:f>IF(OR(M158="",J158="",J158=0),"",M158/J158)</x:f>
      </x:c>
      <x:c r="O158" s="114"/>
      <x:c r="P158" s="114"/>
      <x:c r="Q158" s="114"/>
    </x:row>
    <x:row r="159" ht="24" customHeight="1">
      <x:c r="A159" s="122"/>
      <x:c r="B159" s="114"/>
      <x:c r="C159" s="114"/>
      <x:c r="D159" s="114"/>
      <x:c r="E159" s="126"/>
      <x:c r="F159" s="126"/>
      <x:c r="G159" s="126"/>
      <x:c r="H159" s="114"/>
      <x:c r="I159" s="126"/>
      <x:c r="J159" s="130" t="str">
        <x:f>IF(OR(E159="",F159="",H159="",I159=""),"",ABS(E159-F159)*H159*I159)</x:f>
      </x:c>
      <x:c r="K159" s="130" t="str">
        <x:f>IF(OR(D159="",E159="",G159="",H159="",I159=""),"",IF(UPPER(D159)="LONG",(G159-E159)*H159*I159,IF(UPPER(D159)="SHORT",(E159-G159)*H159*I159,"")))</x:f>
      </x:c>
      <x:c r="L159" s="126"/>
      <x:c r="M159" s="130" t="str">
        <x:f>IF(K159="","",K159-IF(L159="",0,L159))</x:f>
      </x:c>
      <x:c r="N159" s="134" t="str">
        <x:f>IF(OR(M159="",J159="",J159=0),"",M159/J159)</x:f>
      </x:c>
      <x:c r="O159" s="114"/>
      <x:c r="P159" s="114"/>
      <x:c r="Q159" s="114"/>
    </x:row>
    <x:row r="160" ht="24" customHeight="1">
      <x:c r="A160" s="122"/>
      <x:c r="B160" s="114"/>
      <x:c r="C160" s="114"/>
      <x:c r="D160" s="114"/>
      <x:c r="E160" s="126"/>
      <x:c r="F160" s="126"/>
      <x:c r="G160" s="126"/>
      <x:c r="H160" s="114"/>
      <x:c r="I160" s="126"/>
      <x:c r="J160" s="130" t="str">
        <x:f>IF(OR(E160="",F160="",H160="",I160=""),"",ABS(E160-F160)*H160*I160)</x:f>
      </x:c>
      <x:c r="K160" s="130" t="str">
        <x:f>IF(OR(D160="",E160="",G160="",H160="",I160=""),"",IF(UPPER(D160)="LONG",(G160-E160)*H160*I160,IF(UPPER(D160)="SHORT",(E160-G160)*H160*I160,"")))</x:f>
      </x:c>
      <x:c r="L160" s="126"/>
      <x:c r="M160" s="130" t="str">
        <x:f>IF(K160="","",K160-IF(L160="",0,L160))</x:f>
      </x:c>
      <x:c r="N160" s="134" t="str">
        <x:f>IF(OR(M160="",J160="",J160=0),"",M160/J160)</x:f>
      </x:c>
      <x:c r="O160" s="114"/>
      <x:c r="P160" s="114"/>
      <x:c r="Q160" s="114"/>
    </x:row>
    <x:row r="161" ht="24" customHeight="1">
      <x:c r="A161" s="122"/>
      <x:c r="B161" s="114"/>
      <x:c r="C161" s="114"/>
      <x:c r="D161" s="114"/>
      <x:c r="E161" s="126"/>
      <x:c r="F161" s="126"/>
      <x:c r="G161" s="126"/>
      <x:c r="H161" s="114"/>
      <x:c r="I161" s="126"/>
      <x:c r="J161" s="130" t="str">
        <x:f>IF(OR(E161="",F161="",H161="",I161=""),"",ABS(E161-F161)*H161*I161)</x:f>
      </x:c>
      <x:c r="K161" s="130" t="str">
        <x:f>IF(OR(D161="",E161="",G161="",H161="",I161=""),"",IF(UPPER(D161)="LONG",(G161-E161)*H161*I161,IF(UPPER(D161)="SHORT",(E161-G161)*H161*I161,"")))</x:f>
      </x:c>
      <x:c r="L161" s="126"/>
      <x:c r="M161" s="130" t="str">
        <x:f>IF(K161="","",K161-IF(L161="",0,L161))</x:f>
      </x:c>
      <x:c r="N161" s="134" t="str">
        <x:f>IF(OR(M161="",J161="",J161=0),"",M161/J161)</x:f>
      </x:c>
      <x:c r="O161" s="114"/>
      <x:c r="P161" s="114"/>
      <x:c r="Q161" s="114"/>
    </x:row>
    <x:row r="162" ht="24" customHeight="1">
      <x:c r="A162" s="122"/>
      <x:c r="B162" s="114"/>
      <x:c r="C162" s="114"/>
      <x:c r="D162" s="114"/>
      <x:c r="E162" s="126"/>
      <x:c r="F162" s="126"/>
      <x:c r="G162" s="126"/>
      <x:c r="H162" s="114"/>
      <x:c r="I162" s="126"/>
      <x:c r="J162" s="130" t="str">
        <x:f>IF(OR(E162="",F162="",H162="",I162=""),"",ABS(E162-F162)*H162*I162)</x:f>
      </x:c>
      <x:c r="K162" s="130" t="str">
        <x:f>IF(OR(D162="",E162="",G162="",H162="",I162=""),"",IF(UPPER(D162)="LONG",(G162-E162)*H162*I162,IF(UPPER(D162)="SHORT",(E162-G162)*H162*I162,"")))</x:f>
      </x:c>
      <x:c r="L162" s="126"/>
      <x:c r="M162" s="130" t="str">
        <x:f>IF(K162="","",K162-IF(L162="",0,L162))</x:f>
      </x:c>
      <x:c r="N162" s="134" t="str">
        <x:f>IF(OR(M162="",J162="",J162=0),"",M162/J162)</x:f>
      </x:c>
      <x:c r="O162" s="114"/>
      <x:c r="P162" s="114"/>
      <x:c r="Q162" s="114"/>
    </x:row>
    <x:row r="163" ht="24" customHeight="1">
      <x:c r="A163" s="122"/>
      <x:c r="B163" s="114"/>
      <x:c r="C163" s="114"/>
      <x:c r="D163" s="114"/>
      <x:c r="E163" s="126"/>
      <x:c r="F163" s="126"/>
      <x:c r="G163" s="126"/>
      <x:c r="H163" s="114"/>
      <x:c r="I163" s="126"/>
      <x:c r="J163" s="130" t="str">
        <x:f>IF(OR(E163="",F163="",H163="",I163=""),"",ABS(E163-F163)*H163*I163)</x:f>
      </x:c>
      <x:c r="K163" s="130" t="str">
        <x:f>IF(OR(D163="",E163="",G163="",H163="",I163=""),"",IF(UPPER(D163)="LONG",(G163-E163)*H163*I163,IF(UPPER(D163)="SHORT",(E163-G163)*H163*I163,"")))</x:f>
      </x:c>
      <x:c r="L163" s="126"/>
      <x:c r="M163" s="130" t="str">
        <x:f>IF(K163="","",K163-IF(L163="",0,L163))</x:f>
      </x:c>
      <x:c r="N163" s="134" t="str">
        <x:f>IF(OR(M163="",J163="",J163=0),"",M163/J163)</x:f>
      </x:c>
      <x:c r="O163" s="114"/>
      <x:c r="P163" s="114"/>
      <x:c r="Q163" s="114"/>
    </x:row>
    <x:row r="164" ht="24" customHeight="1">
      <x:c r="A164" s="122"/>
      <x:c r="B164" s="114"/>
      <x:c r="C164" s="114"/>
      <x:c r="D164" s="114"/>
      <x:c r="E164" s="126"/>
      <x:c r="F164" s="126"/>
      <x:c r="G164" s="126"/>
      <x:c r="H164" s="114"/>
      <x:c r="I164" s="126"/>
      <x:c r="J164" s="130" t="str">
        <x:f>IF(OR(E164="",F164="",H164="",I164=""),"",ABS(E164-F164)*H164*I164)</x:f>
      </x:c>
      <x:c r="K164" s="130" t="str">
        <x:f>IF(OR(D164="",E164="",G164="",H164="",I164=""),"",IF(UPPER(D164)="LONG",(G164-E164)*H164*I164,IF(UPPER(D164)="SHORT",(E164-G164)*H164*I164,"")))</x:f>
      </x:c>
      <x:c r="L164" s="126"/>
      <x:c r="M164" s="130" t="str">
        <x:f>IF(K164="","",K164-IF(L164="",0,L164))</x:f>
      </x:c>
      <x:c r="N164" s="134" t="str">
        <x:f>IF(OR(M164="",J164="",J164=0),"",M164/J164)</x:f>
      </x:c>
      <x:c r="O164" s="114"/>
      <x:c r="P164" s="114"/>
      <x:c r="Q164" s="114"/>
    </x:row>
    <x:row r="165" ht="24" customHeight="1">
      <x:c r="A165" s="122"/>
      <x:c r="B165" s="114"/>
      <x:c r="C165" s="114"/>
      <x:c r="D165" s="114"/>
      <x:c r="E165" s="126"/>
      <x:c r="F165" s="126"/>
      <x:c r="G165" s="126"/>
      <x:c r="H165" s="114"/>
      <x:c r="I165" s="126"/>
      <x:c r="J165" s="130" t="str">
        <x:f>IF(OR(E165="",F165="",H165="",I165=""),"",ABS(E165-F165)*H165*I165)</x:f>
      </x:c>
      <x:c r="K165" s="130" t="str">
        <x:f>IF(OR(D165="",E165="",G165="",H165="",I165=""),"",IF(UPPER(D165)="LONG",(G165-E165)*H165*I165,IF(UPPER(D165)="SHORT",(E165-G165)*H165*I165,"")))</x:f>
      </x:c>
      <x:c r="L165" s="126"/>
      <x:c r="M165" s="130" t="str">
        <x:f>IF(K165="","",K165-IF(L165="",0,L165))</x:f>
      </x:c>
      <x:c r="N165" s="134" t="str">
        <x:f>IF(OR(M165="",J165="",J165=0),"",M165/J165)</x:f>
      </x:c>
      <x:c r="O165" s="114"/>
      <x:c r="P165" s="114"/>
      <x:c r="Q165" s="114"/>
    </x:row>
    <x:row r="166" ht="24" customHeight="1">
      <x:c r="A166" s="122"/>
      <x:c r="B166" s="114"/>
      <x:c r="C166" s="114"/>
      <x:c r="D166" s="114"/>
      <x:c r="E166" s="126"/>
      <x:c r="F166" s="126"/>
      <x:c r="G166" s="126"/>
      <x:c r="H166" s="114"/>
      <x:c r="I166" s="126"/>
      <x:c r="J166" s="130" t="str">
        <x:f>IF(OR(E166="",F166="",H166="",I166=""),"",ABS(E166-F166)*H166*I166)</x:f>
      </x:c>
      <x:c r="K166" s="130" t="str">
        <x:f>IF(OR(D166="",E166="",G166="",H166="",I166=""),"",IF(UPPER(D166)="LONG",(G166-E166)*H166*I166,IF(UPPER(D166)="SHORT",(E166-G166)*H166*I166,"")))</x:f>
      </x:c>
      <x:c r="L166" s="126"/>
      <x:c r="M166" s="130" t="str">
        <x:f>IF(K166="","",K166-IF(L166="",0,L166))</x:f>
      </x:c>
      <x:c r="N166" s="134" t="str">
        <x:f>IF(OR(M166="",J166="",J166=0),"",M166/J166)</x:f>
      </x:c>
      <x:c r="O166" s="114"/>
      <x:c r="P166" s="114"/>
      <x:c r="Q166" s="114"/>
    </x:row>
    <x:row r="167" ht="24" customHeight="1">
      <x:c r="A167" s="122"/>
      <x:c r="B167" s="114"/>
      <x:c r="C167" s="114"/>
      <x:c r="D167" s="114"/>
      <x:c r="E167" s="126"/>
      <x:c r="F167" s="126"/>
      <x:c r="G167" s="126"/>
      <x:c r="H167" s="114"/>
      <x:c r="I167" s="126"/>
      <x:c r="J167" s="130" t="str">
        <x:f>IF(OR(E167="",F167="",H167="",I167=""),"",ABS(E167-F167)*H167*I167)</x:f>
      </x:c>
      <x:c r="K167" s="130" t="str">
        <x:f>IF(OR(D167="",E167="",G167="",H167="",I167=""),"",IF(UPPER(D167)="LONG",(G167-E167)*H167*I167,IF(UPPER(D167)="SHORT",(E167-G167)*H167*I167,"")))</x:f>
      </x:c>
      <x:c r="L167" s="126"/>
      <x:c r="M167" s="130" t="str">
        <x:f>IF(K167="","",K167-IF(L167="",0,L167))</x:f>
      </x:c>
      <x:c r="N167" s="134" t="str">
        <x:f>IF(OR(M167="",J167="",J167=0),"",M167/J167)</x:f>
      </x:c>
      <x:c r="O167" s="114"/>
      <x:c r="P167" s="114"/>
      <x:c r="Q167" s="114"/>
    </x:row>
    <x:row r="168" ht="24" customHeight="1">
      <x:c r="A168" s="122"/>
      <x:c r="B168" s="114"/>
      <x:c r="C168" s="114"/>
      <x:c r="D168" s="114"/>
      <x:c r="E168" s="126"/>
      <x:c r="F168" s="126"/>
      <x:c r="G168" s="126"/>
      <x:c r="H168" s="114"/>
      <x:c r="I168" s="126"/>
      <x:c r="J168" s="130" t="str">
        <x:f>IF(OR(E168="",F168="",H168="",I168=""),"",ABS(E168-F168)*H168*I168)</x:f>
      </x:c>
      <x:c r="K168" s="130" t="str">
        <x:f>IF(OR(D168="",E168="",G168="",H168="",I168=""),"",IF(UPPER(D168)="LONG",(G168-E168)*H168*I168,IF(UPPER(D168)="SHORT",(E168-G168)*H168*I168,"")))</x:f>
      </x:c>
      <x:c r="L168" s="126"/>
      <x:c r="M168" s="130" t="str">
        <x:f>IF(K168="","",K168-IF(L168="",0,L168))</x:f>
      </x:c>
      <x:c r="N168" s="134" t="str">
        <x:f>IF(OR(M168="",J168="",J168=0),"",M168/J168)</x:f>
      </x:c>
      <x:c r="O168" s="114"/>
      <x:c r="P168" s="114"/>
      <x:c r="Q168" s="114"/>
    </x:row>
    <x:row r="169" ht="24" customHeight="1">
      <x:c r="A169" s="122"/>
      <x:c r="B169" s="114"/>
      <x:c r="C169" s="114"/>
      <x:c r="D169" s="114"/>
      <x:c r="E169" s="126"/>
      <x:c r="F169" s="126"/>
      <x:c r="G169" s="126"/>
      <x:c r="H169" s="114"/>
      <x:c r="I169" s="126"/>
      <x:c r="J169" s="130" t="str">
        <x:f>IF(OR(E169="",F169="",H169="",I169=""),"",ABS(E169-F169)*H169*I169)</x:f>
      </x:c>
      <x:c r="K169" s="130" t="str">
        <x:f>IF(OR(D169="",E169="",G169="",H169="",I169=""),"",IF(UPPER(D169)="LONG",(G169-E169)*H169*I169,IF(UPPER(D169)="SHORT",(E169-G169)*H169*I169,"")))</x:f>
      </x:c>
      <x:c r="L169" s="126"/>
      <x:c r="M169" s="130" t="str">
        <x:f>IF(K169="","",K169-IF(L169="",0,L169))</x:f>
      </x:c>
      <x:c r="N169" s="134" t="str">
        <x:f>IF(OR(M169="",J169="",J169=0),"",M169/J169)</x:f>
      </x:c>
      <x:c r="O169" s="114"/>
      <x:c r="P169" s="114"/>
      <x:c r="Q169" s="114"/>
    </x:row>
    <x:row r="170" ht="24" customHeight="1">
      <x:c r="A170" s="122"/>
      <x:c r="B170" s="114"/>
      <x:c r="C170" s="114"/>
      <x:c r="D170" s="114"/>
      <x:c r="E170" s="126"/>
      <x:c r="F170" s="126"/>
      <x:c r="G170" s="126"/>
      <x:c r="H170" s="114"/>
      <x:c r="I170" s="126"/>
      <x:c r="J170" s="130" t="str">
        <x:f>IF(OR(E170="",F170="",H170="",I170=""),"",ABS(E170-F170)*H170*I170)</x:f>
      </x:c>
      <x:c r="K170" s="130" t="str">
        <x:f>IF(OR(D170="",E170="",G170="",H170="",I170=""),"",IF(UPPER(D170)="LONG",(G170-E170)*H170*I170,IF(UPPER(D170)="SHORT",(E170-G170)*H170*I170,"")))</x:f>
      </x:c>
      <x:c r="L170" s="126"/>
      <x:c r="M170" s="130" t="str">
        <x:f>IF(K170="","",K170-IF(L170="",0,L170))</x:f>
      </x:c>
      <x:c r="N170" s="134" t="str">
        <x:f>IF(OR(M170="",J170="",J170=0),"",M170/J170)</x:f>
      </x:c>
      <x:c r="O170" s="114"/>
      <x:c r="P170" s="114"/>
      <x:c r="Q170" s="114"/>
    </x:row>
    <x:row r="171" ht="24" customHeight="1">
      <x:c r="A171" s="122"/>
      <x:c r="B171" s="114"/>
      <x:c r="C171" s="114"/>
      <x:c r="D171" s="114"/>
      <x:c r="E171" s="126"/>
      <x:c r="F171" s="126"/>
      <x:c r="G171" s="126"/>
      <x:c r="H171" s="114"/>
      <x:c r="I171" s="126"/>
      <x:c r="J171" s="130" t="str">
        <x:f>IF(OR(E171="",F171="",H171="",I171=""),"",ABS(E171-F171)*H171*I171)</x:f>
      </x:c>
      <x:c r="K171" s="130" t="str">
        <x:f>IF(OR(D171="",E171="",G171="",H171="",I171=""),"",IF(UPPER(D171)="LONG",(G171-E171)*H171*I171,IF(UPPER(D171)="SHORT",(E171-G171)*H171*I171,"")))</x:f>
      </x:c>
      <x:c r="L171" s="126"/>
      <x:c r="M171" s="130" t="str">
        <x:f>IF(K171="","",K171-IF(L171="",0,L171))</x:f>
      </x:c>
      <x:c r="N171" s="134" t="str">
        <x:f>IF(OR(M171="",J171="",J171=0),"",M171/J171)</x:f>
      </x:c>
      <x:c r="O171" s="114"/>
      <x:c r="P171" s="114"/>
      <x:c r="Q171" s="114"/>
    </x:row>
    <x:row r="172" ht="24" customHeight="1">
      <x:c r="A172" s="122"/>
      <x:c r="B172" s="114"/>
      <x:c r="C172" s="114"/>
      <x:c r="D172" s="114"/>
      <x:c r="E172" s="126"/>
      <x:c r="F172" s="126"/>
      <x:c r="G172" s="126"/>
      <x:c r="H172" s="114"/>
      <x:c r="I172" s="126"/>
      <x:c r="J172" s="130" t="str">
        <x:f>IF(OR(E172="",F172="",H172="",I172=""),"",ABS(E172-F172)*H172*I172)</x:f>
      </x:c>
      <x:c r="K172" s="130" t="str">
        <x:f>IF(OR(D172="",E172="",G172="",H172="",I172=""),"",IF(UPPER(D172)="LONG",(G172-E172)*H172*I172,IF(UPPER(D172)="SHORT",(E172-G172)*H172*I172,"")))</x:f>
      </x:c>
      <x:c r="L172" s="126"/>
      <x:c r="M172" s="130" t="str">
        <x:f>IF(K172="","",K172-IF(L172="",0,L172))</x:f>
      </x:c>
      <x:c r="N172" s="134" t="str">
        <x:f>IF(OR(M172="",J172="",J172=0),"",M172/J172)</x:f>
      </x:c>
      <x:c r="O172" s="114"/>
      <x:c r="P172" s="114"/>
      <x:c r="Q172" s="114"/>
    </x:row>
    <x:row r="173" ht="24" customHeight="1">
      <x:c r="A173" s="122"/>
      <x:c r="B173" s="114"/>
      <x:c r="C173" s="114"/>
      <x:c r="D173" s="114"/>
      <x:c r="E173" s="126"/>
      <x:c r="F173" s="126"/>
      <x:c r="G173" s="126"/>
      <x:c r="H173" s="114"/>
      <x:c r="I173" s="126"/>
      <x:c r="J173" s="130" t="str">
        <x:f>IF(OR(E173="",F173="",H173="",I173=""),"",ABS(E173-F173)*H173*I173)</x:f>
      </x:c>
      <x:c r="K173" s="130" t="str">
        <x:f>IF(OR(D173="",E173="",G173="",H173="",I173=""),"",IF(UPPER(D173)="LONG",(G173-E173)*H173*I173,IF(UPPER(D173)="SHORT",(E173-G173)*H173*I173,"")))</x:f>
      </x:c>
      <x:c r="L173" s="126"/>
      <x:c r="M173" s="130" t="str">
        <x:f>IF(K173="","",K173-IF(L173="",0,L173))</x:f>
      </x:c>
      <x:c r="N173" s="134" t="str">
        <x:f>IF(OR(M173="",J173="",J173=0),"",M173/J173)</x:f>
      </x:c>
      <x:c r="O173" s="114"/>
      <x:c r="P173" s="114"/>
      <x:c r="Q173" s="114"/>
    </x:row>
    <x:row r="174" ht="24" customHeight="1">
      <x:c r="A174" s="122"/>
      <x:c r="B174" s="114"/>
      <x:c r="C174" s="114"/>
      <x:c r="D174" s="114"/>
      <x:c r="E174" s="126"/>
      <x:c r="F174" s="126"/>
      <x:c r="G174" s="126"/>
      <x:c r="H174" s="114"/>
      <x:c r="I174" s="126"/>
      <x:c r="J174" s="130" t="str">
        <x:f>IF(OR(E174="",F174="",H174="",I174=""),"",ABS(E174-F174)*H174*I174)</x:f>
      </x:c>
      <x:c r="K174" s="130" t="str">
        <x:f>IF(OR(D174="",E174="",G174="",H174="",I174=""),"",IF(UPPER(D174)="LONG",(G174-E174)*H174*I174,IF(UPPER(D174)="SHORT",(E174-G174)*H174*I174,"")))</x:f>
      </x:c>
      <x:c r="L174" s="126"/>
      <x:c r="M174" s="130" t="str">
        <x:f>IF(K174="","",K174-IF(L174="",0,L174))</x:f>
      </x:c>
      <x:c r="N174" s="134" t="str">
        <x:f>IF(OR(M174="",J174="",J174=0),"",M174/J174)</x:f>
      </x:c>
      <x:c r="O174" s="114"/>
      <x:c r="P174" s="114"/>
      <x:c r="Q174" s="114"/>
    </x:row>
    <x:row r="175" ht="24" customHeight="1">
      <x:c r="A175" s="122"/>
      <x:c r="B175" s="114"/>
      <x:c r="C175" s="114"/>
      <x:c r="D175" s="114"/>
      <x:c r="E175" s="126"/>
      <x:c r="F175" s="126"/>
      <x:c r="G175" s="126"/>
      <x:c r="H175" s="114"/>
      <x:c r="I175" s="126"/>
      <x:c r="J175" s="130" t="str">
        <x:f>IF(OR(E175="",F175="",H175="",I175=""),"",ABS(E175-F175)*H175*I175)</x:f>
      </x:c>
      <x:c r="K175" s="130" t="str">
        <x:f>IF(OR(D175="",E175="",G175="",H175="",I175=""),"",IF(UPPER(D175)="LONG",(G175-E175)*H175*I175,IF(UPPER(D175)="SHORT",(E175-G175)*H175*I175,"")))</x:f>
      </x:c>
      <x:c r="L175" s="126"/>
      <x:c r="M175" s="130" t="str">
        <x:f>IF(K175="","",K175-IF(L175="",0,L175))</x:f>
      </x:c>
      <x:c r="N175" s="134" t="str">
        <x:f>IF(OR(M175="",J175="",J175=0),"",M175/J175)</x:f>
      </x:c>
      <x:c r="O175" s="114"/>
      <x:c r="P175" s="114"/>
      <x:c r="Q175" s="114"/>
    </x:row>
    <x:row r="176" ht="24" customHeight="1">
      <x:c r="A176" s="122"/>
      <x:c r="B176" s="114"/>
      <x:c r="C176" s="114"/>
      <x:c r="D176" s="114"/>
      <x:c r="E176" s="126"/>
      <x:c r="F176" s="126"/>
      <x:c r="G176" s="126"/>
      <x:c r="H176" s="114"/>
      <x:c r="I176" s="126"/>
      <x:c r="J176" s="130" t="str">
        <x:f>IF(OR(E176="",F176="",H176="",I176=""),"",ABS(E176-F176)*H176*I176)</x:f>
      </x:c>
      <x:c r="K176" s="130" t="str">
        <x:f>IF(OR(D176="",E176="",G176="",H176="",I176=""),"",IF(UPPER(D176)="LONG",(G176-E176)*H176*I176,IF(UPPER(D176)="SHORT",(E176-G176)*H176*I176,"")))</x:f>
      </x:c>
      <x:c r="L176" s="126"/>
      <x:c r="M176" s="130" t="str">
        <x:f>IF(K176="","",K176-IF(L176="",0,L176))</x:f>
      </x:c>
      <x:c r="N176" s="134" t="str">
        <x:f>IF(OR(M176="",J176="",J176=0),"",M176/J176)</x:f>
      </x:c>
      <x:c r="O176" s="114"/>
      <x:c r="P176" s="114"/>
      <x:c r="Q176" s="114"/>
    </x:row>
    <x:row r="177" ht="24" customHeight="1">
      <x:c r="A177" s="122"/>
      <x:c r="B177" s="114"/>
      <x:c r="C177" s="114"/>
      <x:c r="D177" s="114"/>
      <x:c r="E177" s="126"/>
      <x:c r="F177" s="126"/>
      <x:c r="G177" s="126"/>
      <x:c r="H177" s="114"/>
      <x:c r="I177" s="126"/>
      <x:c r="J177" s="130" t="str">
        <x:f>IF(OR(E177="",F177="",H177="",I177=""),"",ABS(E177-F177)*H177*I177)</x:f>
      </x:c>
      <x:c r="K177" s="130" t="str">
        <x:f>IF(OR(D177="",E177="",G177="",H177="",I177=""),"",IF(UPPER(D177)="LONG",(G177-E177)*H177*I177,IF(UPPER(D177)="SHORT",(E177-G177)*H177*I177,"")))</x:f>
      </x:c>
      <x:c r="L177" s="126"/>
      <x:c r="M177" s="130" t="str">
        <x:f>IF(K177="","",K177-IF(L177="",0,L177))</x:f>
      </x:c>
      <x:c r="N177" s="134" t="str">
        <x:f>IF(OR(M177="",J177="",J177=0),"",M177/J177)</x:f>
      </x:c>
      <x:c r="O177" s="114"/>
      <x:c r="P177" s="114"/>
      <x:c r="Q177" s="114"/>
    </x:row>
    <x:row r="178" ht="24" customHeight="1">
      <x:c r="A178" s="122"/>
      <x:c r="B178" s="114"/>
      <x:c r="C178" s="114"/>
      <x:c r="D178" s="114"/>
      <x:c r="E178" s="126"/>
      <x:c r="F178" s="126"/>
      <x:c r="G178" s="126"/>
      <x:c r="H178" s="114"/>
      <x:c r="I178" s="126"/>
      <x:c r="J178" s="130" t="str">
        <x:f>IF(OR(E178="",F178="",H178="",I178=""),"",ABS(E178-F178)*H178*I178)</x:f>
      </x:c>
      <x:c r="K178" s="130" t="str">
        <x:f>IF(OR(D178="",E178="",G178="",H178="",I178=""),"",IF(UPPER(D178)="LONG",(G178-E178)*H178*I178,IF(UPPER(D178)="SHORT",(E178-G178)*H178*I178,"")))</x:f>
      </x:c>
      <x:c r="L178" s="126"/>
      <x:c r="M178" s="130" t="str">
        <x:f>IF(K178="","",K178-IF(L178="",0,L178))</x:f>
      </x:c>
      <x:c r="N178" s="134" t="str">
        <x:f>IF(OR(M178="",J178="",J178=0),"",M178/J178)</x:f>
      </x:c>
      <x:c r="O178" s="114"/>
      <x:c r="P178" s="114"/>
      <x:c r="Q178" s="114"/>
    </x:row>
    <x:row r="179" ht="24" customHeight="1">
      <x:c r="A179" s="122"/>
      <x:c r="B179" s="114"/>
      <x:c r="C179" s="114"/>
      <x:c r="D179" s="114"/>
      <x:c r="E179" s="126"/>
      <x:c r="F179" s="126"/>
      <x:c r="G179" s="126"/>
      <x:c r="H179" s="114"/>
      <x:c r="I179" s="126"/>
      <x:c r="J179" s="130" t="str">
        <x:f>IF(OR(E179="",F179="",H179="",I179=""),"",ABS(E179-F179)*H179*I179)</x:f>
      </x:c>
      <x:c r="K179" s="130" t="str">
        <x:f>IF(OR(D179="",E179="",G179="",H179="",I179=""),"",IF(UPPER(D179)="LONG",(G179-E179)*H179*I179,IF(UPPER(D179)="SHORT",(E179-G179)*H179*I179,"")))</x:f>
      </x:c>
      <x:c r="L179" s="126"/>
      <x:c r="M179" s="130" t="str">
        <x:f>IF(K179="","",K179-IF(L179="",0,L179))</x:f>
      </x:c>
      <x:c r="N179" s="134" t="str">
        <x:f>IF(OR(M179="",J179="",J179=0),"",M179/J179)</x:f>
      </x:c>
      <x:c r="O179" s="114"/>
      <x:c r="P179" s="114"/>
      <x:c r="Q179" s="114"/>
    </x:row>
    <x:row r="180" ht="24" customHeight="1">
      <x:c r="A180" s="122"/>
      <x:c r="B180" s="114"/>
      <x:c r="C180" s="114"/>
      <x:c r="D180" s="114"/>
      <x:c r="E180" s="126"/>
      <x:c r="F180" s="126"/>
      <x:c r="G180" s="126"/>
      <x:c r="H180" s="114"/>
      <x:c r="I180" s="126"/>
      <x:c r="J180" s="130" t="str">
        <x:f>IF(OR(E180="",F180="",H180="",I180=""),"",ABS(E180-F180)*H180*I180)</x:f>
      </x:c>
      <x:c r="K180" s="130" t="str">
        <x:f>IF(OR(D180="",E180="",G180="",H180="",I180=""),"",IF(UPPER(D180)="LONG",(G180-E180)*H180*I180,IF(UPPER(D180)="SHORT",(E180-G180)*H180*I180,"")))</x:f>
      </x:c>
      <x:c r="L180" s="126"/>
      <x:c r="M180" s="130" t="str">
        <x:f>IF(K180="","",K180-IF(L180="",0,L180))</x:f>
      </x:c>
      <x:c r="N180" s="134" t="str">
        <x:f>IF(OR(M180="",J180="",J180=0),"",M180/J180)</x:f>
      </x:c>
      <x:c r="O180" s="114"/>
      <x:c r="P180" s="114"/>
      <x:c r="Q180" s="114"/>
    </x:row>
    <x:row r="181" ht="24" customHeight="1">
      <x:c r="A181" s="122"/>
      <x:c r="B181" s="114"/>
      <x:c r="C181" s="114"/>
      <x:c r="D181" s="114"/>
      <x:c r="E181" s="126"/>
      <x:c r="F181" s="126"/>
      <x:c r="G181" s="126"/>
      <x:c r="H181" s="114"/>
      <x:c r="I181" s="126"/>
      <x:c r="J181" s="130" t="str">
        <x:f>IF(OR(E181="",F181="",H181="",I181=""),"",ABS(E181-F181)*H181*I181)</x:f>
      </x:c>
      <x:c r="K181" s="130" t="str">
        <x:f>IF(OR(D181="",E181="",G181="",H181="",I181=""),"",IF(UPPER(D181)="LONG",(G181-E181)*H181*I181,IF(UPPER(D181)="SHORT",(E181-G181)*H181*I181,"")))</x:f>
      </x:c>
      <x:c r="L181" s="126"/>
      <x:c r="M181" s="130" t="str">
        <x:f>IF(K181="","",K181-IF(L181="",0,L181))</x:f>
      </x:c>
      <x:c r="N181" s="134" t="str">
        <x:f>IF(OR(M181="",J181="",J181=0),"",M181/J181)</x:f>
      </x:c>
      <x:c r="O181" s="114"/>
      <x:c r="P181" s="114"/>
      <x:c r="Q181" s="114"/>
    </x:row>
    <x:row r="182" ht="24" customHeight="1">
      <x:c r="A182" s="122"/>
      <x:c r="B182" s="114"/>
      <x:c r="C182" s="114"/>
      <x:c r="D182" s="114"/>
      <x:c r="E182" s="126"/>
      <x:c r="F182" s="126"/>
      <x:c r="G182" s="126"/>
      <x:c r="H182" s="114"/>
      <x:c r="I182" s="126"/>
      <x:c r="J182" s="130" t="str">
        <x:f>IF(OR(E182="",F182="",H182="",I182=""),"",ABS(E182-F182)*H182*I182)</x:f>
      </x:c>
      <x:c r="K182" s="130" t="str">
        <x:f>IF(OR(D182="",E182="",G182="",H182="",I182=""),"",IF(UPPER(D182)="LONG",(G182-E182)*H182*I182,IF(UPPER(D182)="SHORT",(E182-G182)*H182*I182,"")))</x:f>
      </x:c>
      <x:c r="L182" s="126"/>
      <x:c r="M182" s="130" t="str">
        <x:f>IF(K182="","",K182-IF(L182="",0,L182))</x:f>
      </x:c>
      <x:c r="N182" s="134" t="str">
        <x:f>IF(OR(M182="",J182="",J182=0),"",M182/J182)</x:f>
      </x:c>
      <x:c r="O182" s="114"/>
      <x:c r="P182" s="114"/>
      <x:c r="Q182" s="114"/>
    </x:row>
    <x:row r="183" ht="24" customHeight="1">
      <x:c r="A183" s="122"/>
      <x:c r="B183" s="114"/>
      <x:c r="C183" s="114"/>
      <x:c r="D183" s="114"/>
      <x:c r="E183" s="126"/>
      <x:c r="F183" s="126"/>
      <x:c r="G183" s="126"/>
      <x:c r="H183" s="114"/>
      <x:c r="I183" s="126"/>
      <x:c r="J183" s="130" t="str">
        <x:f>IF(OR(E183="",F183="",H183="",I183=""),"",ABS(E183-F183)*H183*I183)</x:f>
      </x:c>
      <x:c r="K183" s="130" t="str">
        <x:f>IF(OR(D183="",E183="",G183="",H183="",I183=""),"",IF(UPPER(D183)="LONG",(G183-E183)*H183*I183,IF(UPPER(D183)="SHORT",(E183-G183)*H183*I183,"")))</x:f>
      </x:c>
      <x:c r="L183" s="126"/>
      <x:c r="M183" s="130" t="str">
        <x:f>IF(K183="","",K183-IF(L183="",0,L183))</x:f>
      </x:c>
      <x:c r="N183" s="134" t="str">
        <x:f>IF(OR(M183="",J183="",J183=0),"",M183/J183)</x:f>
      </x:c>
      <x:c r="O183" s="114"/>
      <x:c r="P183" s="114"/>
      <x:c r="Q183" s="114"/>
    </x:row>
    <x:row r="184" ht="24" customHeight="1">
      <x:c r="A184" s="122"/>
      <x:c r="B184" s="114"/>
      <x:c r="C184" s="114"/>
      <x:c r="D184" s="114"/>
      <x:c r="E184" s="126"/>
      <x:c r="F184" s="126"/>
      <x:c r="G184" s="126"/>
      <x:c r="H184" s="114"/>
      <x:c r="I184" s="126"/>
      <x:c r="J184" s="130" t="str">
        <x:f>IF(OR(E184="",F184="",H184="",I184=""),"",ABS(E184-F184)*H184*I184)</x:f>
      </x:c>
      <x:c r="K184" s="130" t="str">
        <x:f>IF(OR(D184="",E184="",G184="",H184="",I184=""),"",IF(UPPER(D184)="LONG",(G184-E184)*H184*I184,IF(UPPER(D184)="SHORT",(E184-G184)*H184*I184,"")))</x:f>
      </x:c>
      <x:c r="L184" s="126"/>
      <x:c r="M184" s="130" t="str">
        <x:f>IF(K184="","",K184-IF(L184="",0,L184))</x:f>
      </x:c>
      <x:c r="N184" s="134" t="str">
        <x:f>IF(OR(M184="",J184="",J184=0),"",M184/J184)</x:f>
      </x:c>
      <x:c r="O184" s="114"/>
      <x:c r="P184" s="114"/>
      <x:c r="Q184" s="114"/>
    </x:row>
    <x:row r="185" ht="24" customHeight="1">
      <x:c r="A185" s="122"/>
      <x:c r="B185" s="114"/>
      <x:c r="C185" s="114"/>
      <x:c r="D185" s="114"/>
      <x:c r="E185" s="126"/>
      <x:c r="F185" s="126"/>
      <x:c r="G185" s="126"/>
      <x:c r="H185" s="114"/>
      <x:c r="I185" s="126"/>
      <x:c r="J185" s="130" t="str">
        <x:f>IF(OR(E185="",F185="",H185="",I185=""),"",ABS(E185-F185)*H185*I185)</x:f>
      </x:c>
      <x:c r="K185" s="130" t="str">
        <x:f>IF(OR(D185="",E185="",G185="",H185="",I185=""),"",IF(UPPER(D185)="LONG",(G185-E185)*H185*I185,IF(UPPER(D185)="SHORT",(E185-G185)*H185*I185,"")))</x:f>
      </x:c>
      <x:c r="L185" s="126"/>
      <x:c r="M185" s="130" t="str">
        <x:f>IF(K185="","",K185-IF(L185="",0,L185))</x:f>
      </x:c>
      <x:c r="N185" s="134" t="str">
        <x:f>IF(OR(M185="",J185="",J185=0),"",M185/J185)</x:f>
      </x:c>
      <x:c r="O185" s="114"/>
      <x:c r="P185" s="114"/>
      <x:c r="Q185" s="114"/>
    </x:row>
    <x:row r="186" ht="24" customHeight="1">
      <x:c r="A186" s="122"/>
      <x:c r="B186" s="114"/>
      <x:c r="C186" s="114"/>
      <x:c r="D186" s="114"/>
      <x:c r="E186" s="126"/>
      <x:c r="F186" s="126"/>
      <x:c r="G186" s="126"/>
      <x:c r="H186" s="114"/>
      <x:c r="I186" s="126"/>
      <x:c r="J186" s="130" t="str">
        <x:f>IF(OR(E186="",F186="",H186="",I186=""),"",ABS(E186-F186)*H186*I186)</x:f>
      </x:c>
      <x:c r="K186" s="130" t="str">
        <x:f>IF(OR(D186="",E186="",G186="",H186="",I186=""),"",IF(UPPER(D186)="LONG",(G186-E186)*H186*I186,IF(UPPER(D186)="SHORT",(E186-G186)*H186*I186,"")))</x:f>
      </x:c>
      <x:c r="L186" s="126"/>
      <x:c r="M186" s="130" t="str">
        <x:f>IF(K186="","",K186-IF(L186="",0,L186))</x:f>
      </x:c>
      <x:c r="N186" s="134" t="str">
        <x:f>IF(OR(M186="",J186="",J186=0),"",M186/J186)</x:f>
      </x:c>
      <x:c r="O186" s="114"/>
      <x:c r="P186" s="114"/>
      <x:c r="Q186" s="114"/>
    </x:row>
    <x:row r="187" ht="24" customHeight="1">
      <x:c r="A187" s="122"/>
      <x:c r="B187" s="114"/>
      <x:c r="C187" s="114"/>
      <x:c r="D187" s="114"/>
      <x:c r="E187" s="126"/>
      <x:c r="F187" s="126"/>
      <x:c r="G187" s="126"/>
      <x:c r="H187" s="114"/>
      <x:c r="I187" s="126"/>
      <x:c r="J187" s="130" t="str">
        <x:f>IF(OR(E187="",F187="",H187="",I187=""),"",ABS(E187-F187)*H187*I187)</x:f>
      </x:c>
      <x:c r="K187" s="130" t="str">
        <x:f>IF(OR(D187="",E187="",G187="",H187="",I187=""),"",IF(UPPER(D187)="LONG",(G187-E187)*H187*I187,IF(UPPER(D187)="SHORT",(E187-G187)*H187*I187,"")))</x:f>
      </x:c>
      <x:c r="L187" s="126"/>
      <x:c r="M187" s="130" t="str">
        <x:f>IF(K187="","",K187-IF(L187="",0,L187))</x:f>
      </x:c>
      <x:c r="N187" s="134" t="str">
        <x:f>IF(OR(M187="",J187="",J187=0),"",M187/J187)</x:f>
      </x:c>
      <x:c r="O187" s="114"/>
      <x:c r="P187" s="114"/>
      <x:c r="Q187" s="114"/>
    </x:row>
    <x:row r="188" ht="24" customHeight="1">
      <x:c r="A188" s="122"/>
      <x:c r="B188" s="114"/>
      <x:c r="C188" s="114"/>
      <x:c r="D188" s="114"/>
      <x:c r="E188" s="126"/>
      <x:c r="F188" s="126"/>
      <x:c r="G188" s="126"/>
      <x:c r="H188" s="114"/>
      <x:c r="I188" s="126"/>
      <x:c r="J188" s="130" t="str">
        <x:f>IF(OR(E188="",F188="",H188="",I188=""),"",ABS(E188-F188)*H188*I188)</x:f>
      </x:c>
      <x:c r="K188" s="130" t="str">
        <x:f>IF(OR(D188="",E188="",G188="",H188="",I188=""),"",IF(UPPER(D188)="LONG",(G188-E188)*H188*I188,IF(UPPER(D188)="SHORT",(E188-G188)*H188*I188,"")))</x:f>
      </x:c>
      <x:c r="L188" s="126"/>
      <x:c r="M188" s="130" t="str">
        <x:f>IF(K188="","",K188-IF(L188="",0,L188))</x:f>
      </x:c>
      <x:c r="N188" s="134" t="str">
        <x:f>IF(OR(M188="",J188="",J188=0),"",M188/J188)</x:f>
      </x:c>
      <x:c r="O188" s="114"/>
      <x:c r="P188" s="114"/>
      <x:c r="Q188" s="114"/>
    </x:row>
    <x:row r="189" ht="24" customHeight="1">
      <x:c r="A189" s="122"/>
      <x:c r="B189" s="114"/>
      <x:c r="C189" s="114"/>
      <x:c r="D189" s="114"/>
      <x:c r="E189" s="126"/>
      <x:c r="F189" s="126"/>
      <x:c r="G189" s="126"/>
      <x:c r="H189" s="114"/>
      <x:c r="I189" s="126"/>
      <x:c r="J189" s="130" t="str">
        <x:f>IF(OR(E189="",F189="",H189="",I189=""),"",ABS(E189-F189)*H189*I189)</x:f>
      </x:c>
      <x:c r="K189" s="130" t="str">
        <x:f>IF(OR(D189="",E189="",G189="",H189="",I189=""),"",IF(UPPER(D189)="LONG",(G189-E189)*H189*I189,IF(UPPER(D189)="SHORT",(E189-G189)*H189*I189,"")))</x:f>
      </x:c>
      <x:c r="L189" s="126"/>
      <x:c r="M189" s="130" t="str">
        <x:f>IF(K189="","",K189-IF(L189="",0,L189))</x:f>
      </x:c>
      <x:c r="N189" s="134" t="str">
        <x:f>IF(OR(M189="",J189="",J189=0),"",M189/J189)</x:f>
      </x:c>
      <x:c r="O189" s="114"/>
      <x:c r="P189" s="114"/>
      <x:c r="Q189" s="114"/>
    </x:row>
    <x:row r="190" ht="24" customHeight="1">
      <x:c r="A190" s="122"/>
      <x:c r="B190" s="114"/>
      <x:c r="C190" s="114"/>
      <x:c r="D190" s="114"/>
      <x:c r="E190" s="126"/>
      <x:c r="F190" s="126"/>
      <x:c r="G190" s="126"/>
      <x:c r="H190" s="114"/>
      <x:c r="I190" s="126"/>
      <x:c r="J190" s="130" t="str">
        <x:f>IF(OR(E190="",F190="",H190="",I190=""),"",ABS(E190-F190)*H190*I190)</x:f>
      </x:c>
      <x:c r="K190" s="130" t="str">
        <x:f>IF(OR(D190="",E190="",G190="",H190="",I190=""),"",IF(UPPER(D190)="LONG",(G190-E190)*H190*I190,IF(UPPER(D190)="SHORT",(E190-G190)*H190*I190,"")))</x:f>
      </x:c>
      <x:c r="L190" s="126"/>
      <x:c r="M190" s="130" t="str">
        <x:f>IF(K190="","",K190-IF(L190="",0,L190))</x:f>
      </x:c>
      <x:c r="N190" s="134" t="str">
        <x:f>IF(OR(M190="",J190="",J190=0),"",M190/J190)</x:f>
      </x:c>
      <x:c r="O190" s="114"/>
      <x:c r="P190" s="114"/>
      <x:c r="Q190" s="114"/>
    </x:row>
    <x:row r="191" ht="24" customHeight="1">
      <x:c r="A191" s="122"/>
      <x:c r="B191" s="114"/>
      <x:c r="C191" s="114"/>
      <x:c r="D191" s="114"/>
      <x:c r="E191" s="126"/>
      <x:c r="F191" s="126"/>
      <x:c r="G191" s="126"/>
      <x:c r="H191" s="114"/>
      <x:c r="I191" s="126"/>
      <x:c r="J191" s="130" t="str">
        <x:f>IF(OR(E191="",F191="",H191="",I191=""),"",ABS(E191-F191)*H191*I191)</x:f>
      </x:c>
      <x:c r="K191" s="130" t="str">
        <x:f>IF(OR(D191="",E191="",G191="",H191="",I191=""),"",IF(UPPER(D191)="LONG",(G191-E191)*H191*I191,IF(UPPER(D191)="SHORT",(E191-G191)*H191*I191,"")))</x:f>
      </x:c>
      <x:c r="L191" s="126"/>
      <x:c r="M191" s="130" t="str">
        <x:f>IF(K191="","",K191-IF(L191="",0,L191))</x:f>
      </x:c>
      <x:c r="N191" s="134" t="str">
        <x:f>IF(OR(M191="",J191="",J191=0),"",M191/J191)</x:f>
      </x:c>
      <x:c r="O191" s="114"/>
      <x:c r="P191" s="114"/>
      <x:c r="Q191" s="114"/>
    </x:row>
    <x:row r="192" ht="24" customHeight="1">
      <x:c r="A192" s="122"/>
      <x:c r="B192" s="114"/>
      <x:c r="C192" s="114"/>
      <x:c r="D192" s="114"/>
      <x:c r="E192" s="126"/>
      <x:c r="F192" s="126"/>
      <x:c r="G192" s="126"/>
      <x:c r="H192" s="114"/>
      <x:c r="I192" s="126"/>
      <x:c r="J192" s="130" t="str">
        <x:f>IF(OR(E192="",F192="",H192="",I192=""),"",ABS(E192-F192)*H192*I192)</x:f>
      </x:c>
      <x:c r="K192" s="130" t="str">
        <x:f>IF(OR(D192="",E192="",G192="",H192="",I192=""),"",IF(UPPER(D192)="LONG",(G192-E192)*H192*I192,IF(UPPER(D192)="SHORT",(E192-G192)*H192*I192,"")))</x:f>
      </x:c>
      <x:c r="L192" s="126"/>
      <x:c r="M192" s="130" t="str">
        <x:f>IF(K192="","",K192-IF(L192="",0,L192))</x:f>
      </x:c>
      <x:c r="N192" s="134" t="str">
        <x:f>IF(OR(M192="",J192="",J192=0),"",M192/J192)</x:f>
      </x:c>
      <x:c r="O192" s="114"/>
      <x:c r="P192" s="114"/>
      <x:c r="Q192" s="114"/>
    </x:row>
    <x:row r="193" ht="24" customHeight="1">
      <x:c r="A193" s="122"/>
      <x:c r="B193" s="114"/>
      <x:c r="C193" s="114"/>
      <x:c r="D193" s="114"/>
      <x:c r="E193" s="126"/>
      <x:c r="F193" s="126"/>
      <x:c r="G193" s="126"/>
      <x:c r="H193" s="114"/>
      <x:c r="I193" s="126"/>
      <x:c r="J193" s="130" t="str">
        <x:f>IF(OR(E193="",F193="",H193="",I193=""),"",ABS(E193-F193)*H193*I193)</x:f>
      </x:c>
      <x:c r="K193" s="130" t="str">
        <x:f>IF(OR(D193="",E193="",G193="",H193="",I193=""),"",IF(UPPER(D193)="LONG",(G193-E193)*H193*I193,IF(UPPER(D193)="SHORT",(E193-G193)*H193*I193,"")))</x:f>
      </x:c>
      <x:c r="L193" s="126"/>
      <x:c r="M193" s="130" t="str">
        <x:f>IF(K193="","",K193-IF(L193="",0,L193))</x:f>
      </x:c>
      <x:c r="N193" s="134" t="str">
        <x:f>IF(OR(M193="",J193="",J193=0),"",M193/J193)</x:f>
      </x:c>
      <x:c r="O193" s="114"/>
      <x:c r="P193" s="114"/>
      <x:c r="Q193" s="114"/>
    </x:row>
    <x:row r="194" ht="24" customHeight="1">
      <x:c r="A194" s="122"/>
      <x:c r="B194" s="114"/>
      <x:c r="C194" s="114"/>
      <x:c r="D194" s="114"/>
      <x:c r="E194" s="126"/>
      <x:c r="F194" s="126"/>
      <x:c r="G194" s="126"/>
      <x:c r="H194" s="114"/>
      <x:c r="I194" s="126"/>
      <x:c r="J194" s="130" t="str">
        <x:f>IF(OR(E194="",F194="",H194="",I194=""),"",ABS(E194-F194)*H194*I194)</x:f>
      </x:c>
      <x:c r="K194" s="130" t="str">
        <x:f>IF(OR(D194="",E194="",G194="",H194="",I194=""),"",IF(UPPER(D194)="LONG",(G194-E194)*H194*I194,IF(UPPER(D194)="SHORT",(E194-G194)*H194*I194,"")))</x:f>
      </x:c>
      <x:c r="L194" s="126"/>
      <x:c r="M194" s="130" t="str">
        <x:f>IF(K194="","",K194-IF(L194="",0,L194))</x:f>
      </x:c>
      <x:c r="N194" s="134" t="str">
        <x:f>IF(OR(M194="",J194="",J194=0),"",M194/J194)</x:f>
      </x:c>
      <x:c r="O194" s="114"/>
      <x:c r="P194" s="114"/>
      <x:c r="Q194" s="114"/>
    </x:row>
    <x:row r="195" ht="24" customHeight="1">
      <x:c r="A195" s="122"/>
      <x:c r="B195" s="114"/>
      <x:c r="C195" s="114"/>
      <x:c r="D195" s="114"/>
      <x:c r="E195" s="126"/>
      <x:c r="F195" s="126"/>
      <x:c r="G195" s="126"/>
      <x:c r="H195" s="114"/>
      <x:c r="I195" s="126"/>
      <x:c r="J195" s="130" t="str">
        <x:f>IF(OR(E195="",F195="",H195="",I195=""),"",ABS(E195-F195)*H195*I195)</x:f>
      </x:c>
      <x:c r="K195" s="130" t="str">
        <x:f>IF(OR(D195="",E195="",G195="",H195="",I195=""),"",IF(UPPER(D195)="LONG",(G195-E195)*H195*I195,IF(UPPER(D195)="SHORT",(E195-G195)*H195*I195,"")))</x:f>
      </x:c>
      <x:c r="L195" s="126"/>
      <x:c r="M195" s="130" t="str">
        <x:f>IF(K195="","",K195-IF(L195="",0,L195))</x:f>
      </x:c>
      <x:c r="N195" s="134" t="str">
        <x:f>IF(OR(M195="",J195="",J195=0),"",M195/J195)</x:f>
      </x:c>
      <x:c r="O195" s="114"/>
      <x:c r="P195" s="114"/>
      <x:c r="Q195" s="114"/>
    </x:row>
    <x:row r="196" ht="24" customHeight="1">
      <x:c r="A196" s="122"/>
      <x:c r="B196" s="114"/>
      <x:c r="C196" s="114"/>
      <x:c r="D196" s="114"/>
      <x:c r="E196" s="126"/>
      <x:c r="F196" s="126"/>
      <x:c r="G196" s="126"/>
      <x:c r="H196" s="114"/>
      <x:c r="I196" s="126"/>
      <x:c r="J196" s="130" t="str">
        <x:f>IF(OR(E196="",F196="",H196="",I196=""),"",ABS(E196-F196)*H196*I196)</x:f>
      </x:c>
      <x:c r="K196" s="130" t="str">
        <x:f>IF(OR(D196="",E196="",G196="",H196="",I196=""),"",IF(UPPER(D196)="LONG",(G196-E196)*H196*I196,IF(UPPER(D196)="SHORT",(E196-G196)*H196*I196,"")))</x:f>
      </x:c>
      <x:c r="L196" s="126"/>
      <x:c r="M196" s="130" t="str">
        <x:f>IF(K196="","",K196-IF(L196="",0,L196))</x:f>
      </x:c>
      <x:c r="N196" s="134" t="str">
        <x:f>IF(OR(M196="",J196="",J196=0),"",M196/J196)</x:f>
      </x:c>
      <x:c r="O196" s="114"/>
      <x:c r="P196" s="114"/>
      <x:c r="Q196" s="114"/>
    </x:row>
    <x:row r="197" ht="24" customHeight="1">
      <x:c r="A197" s="122"/>
      <x:c r="B197" s="114"/>
      <x:c r="C197" s="114"/>
      <x:c r="D197" s="114"/>
      <x:c r="E197" s="126"/>
      <x:c r="F197" s="126"/>
      <x:c r="G197" s="126"/>
      <x:c r="H197" s="114"/>
      <x:c r="I197" s="126"/>
      <x:c r="J197" s="130" t="str">
        <x:f>IF(OR(E197="",F197="",H197="",I197=""),"",ABS(E197-F197)*H197*I197)</x:f>
      </x:c>
      <x:c r="K197" s="130" t="str">
        <x:f>IF(OR(D197="",E197="",G197="",H197="",I197=""),"",IF(UPPER(D197)="LONG",(G197-E197)*H197*I197,IF(UPPER(D197)="SHORT",(E197-G197)*H197*I197,"")))</x:f>
      </x:c>
      <x:c r="L197" s="126"/>
      <x:c r="M197" s="130" t="str">
        <x:f>IF(K197="","",K197-IF(L197="",0,L197))</x:f>
      </x:c>
      <x:c r="N197" s="134" t="str">
        <x:f>IF(OR(M197="",J197="",J197=0),"",M197/J197)</x:f>
      </x:c>
      <x:c r="O197" s="114"/>
      <x:c r="P197" s="114"/>
      <x:c r="Q197" s="114"/>
    </x:row>
    <x:row r="198" ht="24" customHeight="1">
      <x:c r="A198" s="122"/>
      <x:c r="B198" s="114"/>
      <x:c r="C198" s="114"/>
      <x:c r="D198" s="114"/>
      <x:c r="E198" s="126"/>
      <x:c r="F198" s="126"/>
      <x:c r="G198" s="126"/>
      <x:c r="H198" s="114"/>
      <x:c r="I198" s="126"/>
      <x:c r="J198" s="130" t="str">
        <x:f>IF(OR(E198="",F198="",H198="",I198=""),"",ABS(E198-F198)*H198*I198)</x:f>
      </x:c>
      <x:c r="K198" s="130" t="str">
        <x:f>IF(OR(D198="",E198="",G198="",H198="",I198=""),"",IF(UPPER(D198)="LONG",(G198-E198)*H198*I198,IF(UPPER(D198)="SHORT",(E198-G198)*H198*I198,"")))</x:f>
      </x:c>
      <x:c r="L198" s="126"/>
      <x:c r="M198" s="130" t="str">
        <x:f>IF(K198="","",K198-IF(L198="",0,L198))</x:f>
      </x:c>
      <x:c r="N198" s="134" t="str">
        <x:f>IF(OR(M198="",J198="",J198=0),"",M198/J198)</x:f>
      </x:c>
      <x:c r="O198" s="114"/>
      <x:c r="P198" s="114"/>
      <x:c r="Q198" s="114"/>
    </x:row>
    <x:row r="199" ht="24" customHeight="1">
      <x:c r="A199" s="122"/>
      <x:c r="B199" s="114"/>
      <x:c r="C199" s="114"/>
      <x:c r="D199" s="114"/>
      <x:c r="E199" s="126"/>
      <x:c r="F199" s="126"/>
      <x:c r="G199" s="126"/>
      <x:c r="H199" s="114"/>
      <x:c r="I199" s="126"/>
      <x:c r="J199" s="130" t="str">
        <x:f>IF(OR(E199="",F199="",H199="",I199=""),"",ABS(E199-F199)*H199*I199)</x:f>
      </x:c>
      <x:c r="K199" s="130" t="str">
        <x:f>IF(OR(D199="",E199="",G199="",H199="",I199=""),"",IF(UPPER(D199)="LONG",(G199-E199)*H199*I199,IF(UPPER(D199)="SHORT",(E199-G199)*H199*I199,"")))</x:f>
      </x:c>
      <x:c r="L199" s="126"/>
      <x:c r="M199" s="130" t="str">
        <x:f>IF(K199="","",K199-IF(L199="",0,L199))</x:f>
      </x:c>
      <x:c r="N199" s="134" t="str">
        <x:f>IF(OR(M199="",J199="",J199=0),"",M199/J199)</x:f>
      </x:c>
      <x:c r="O199" s="114"/>
      <x:c r="P199" s="114"/>
      <x:c r="Q199" s="114"/>
    </x:row>
    <x:row r="200" ht="24" customHeight="1">
      <x:c r="A200" s="122"/>
      <x:c r="B200" s="114"/>
      <x:c r="C200" s="114"/>
      <x:c r="D200" s="114"/>
      <x:c r="E200" s="126"/>
      <x:c r="F200" s="126"/>
      <x:c r="G200" s="126"/>
      <x:c r="H200" s="114"/>
      <x:c r="I200" s="126"/>
      <x:c r="J200" s="130" t="str">
        <x:f>IF(OR(E200="",F200="",H200="",I200=""),"",ABS(E200-F200)*H200*I200)</x:f>
      </x:c>
      <x:c r="K200" s="130" t="str">
        <x:f>IF(OR(D200="",E200="",G200="",H200="",I200=""),"",IF(UPPER(D200)="LONG",(G200-E200)*H200*I200,IF(UPPER(D200)="SHORT",(E200-G200)*H200*I200,"")))</x:f>
      </x:c>
      <x:c r="L200" s="126"/>
      <x:c r="M200" s="130" t="str">
        <x:f>IF(K200="","",K200-IF(L200="",0,L200))</x:f>
      </x:c>
      <x:c r="N200" s="134" t="str">
        <x:f>IF(OR(M200="",J200="",J200=0),"",M200/J200)</x:f>
      </x:c>
      <x:c r="O200" s="114"/>
      <x:c r="P200" s="114"/>
      <x:c r="Q200" s="114"/>
    </x:row>
    <x:row r="201" ht="24" customHeight="1">
      <x:c r="A201" s="122"/>
      <x:c r="B201" s="114"/>
      <x:c r="C201" s="114"/>
      <x:c r="D201" s="114"/>
      <x:c r="E201" s="126"/>
      <x:c r="F201" s="126"/>
      <x:c r="G201" s="126"/>
      <x:c r="H201" s="114"/>
      <x:c r="I201" s="126"/>
      <x:c r="J201" s="130" t="str">
        <x:f>IF(OR(E201="",F201="",H201="",I201=""),"",ABS(E201-F201)*H201*I201)</x:f>
      </x:c>
      <x:c r="K201" s="130" t="str">
        <x:f>IF(OR(D201="",E201="",G201="",H201="",I201=""),"",IF(UPPER(D201)="LONG",(G201-E201)*H201*I201,IF(UPPER(D201)="SHORT",(E201-G201)*H201*I201,"")))</x:f>
      </x:c>
      <x:c r="L201" s="126"/>
      <x:c r="M201" s="130" t="str">
        <x:f>IF(K201="","",K201-IF(L201="",0,L201))</x:f>
      </x:c>
      <x:c r="N201" s="134" t="str">
        <x:f>IF(OR(M201="",J201="",J201=0),"",M201/J201)</x:f>
      </x:c>
      <x:c r="O201" s="114"/>
      <x:c r="P201" s="114"/>
      <x:c r="Q201" s="114"/>
    </x:row>
    <x:row r="202" ht="24" customHeight="1">
      <x:c r="A202" s="122"/>
      <x:c r="B202" s="114"/>
      <x:c r="C202" s="114"/>
      <x:c r="D202" s="114"/>
      <x:c r="E202" s="126"/>
      <x:c r="F202" s="126"/>
      <x:c r="G202" s="126"/>
      <x:c r="H202" s="114"/>
      <x:c r="I202" s="126"/>
      <x:c r="J202" s="130" t="str">
        <x:f>IF(OR(E202="",F202="",H202="",I202=""),"",ABS(E202-F202)*H202*I202)</x:f>
      </x:c>
      <x:c r="K202" s="130" t="str">
        <x:f>IF(OR(D202="",E202="",G202="",H202="",I202=""),"",IF(UPPER(D202)="LONG",(G202-E202)*H202*I202,IF(UPPER(D202)="SHORT",(E202-G202)*H202*I202,"")))</x:f>
      </x:c>
      <x:c r="L202" s="126"/>
      <x:c r="M202" s="130" t="str">
        <x:f>IF(K202="","",K202-IF(L202="",0,L202))</x:f>
      </x:c>
      <x:c r="N202" s="134" t="str">
        <x:f>IF(OR(M202="",J202="",J202=0),"",M202/J202)</x:f>
      </x:c>
      <x:c r="O202" s="114"/>
      <x:c r="P202" s="114"/>
      <x:c r="Q202" s="114"/>
    </x:row>
    <x:row r="203" ht="24" customHeight="1">
      <x:c r="A203" s="122"/>
      <x:c r="B203" s="114"/>
      <x:c r="C203" s="114"/>
      <x:c r="D203" s="114"/>
      <x:c r="E203" s="126"/>
      <x:c r="F203" s="126"/>
      <x:c r="G203" s="126"/>
      <x:c r="H203" s="114"/>
      <x:c r="I203" s="126"/>
      <x:c r="J203" s="130" t="str">
        <x:f>IF(OR(E203="",F203="",H203="",I203=""),"",ABS(E203-F203)*H203*I203)</x:f>
      </x:c>
      <x:c r="K203" s="130" t="str">
        <x:f>IF(OR(D203="",E203="",G203="",H203="",I203=""),"",IF(UPPER(D203)="LONG",(G203-E203)*H203*I203,IF(UPPER(D203)="SHORT",(E203-G203)*H203*I203,"")))</x:f>
      </x:c>
      <x:c r="L203" s="126"/>
      <x:c r="M203" s="130" t="str">
        <x:f>IF(K203="","",K203-IF(L203="",0,L203))</x:f>
      </x:c>
      <x:c r="N203" s="134" t="str">
        <x:f>IF(OR(M203="",J203="",J203=0),"",M203/J203)</x:f>
      </x:c>
      <x:c r="O203" s="114"/>
      <x:c r="P203" s="114"/>
      <x:c r="Q203" s="114"/>
    </x:row>
    <x:row r="204" ht="24" customHeight="1">
      <x:c r="A204" s="122"/>
      <x:c r="B204" s="114"/>
      <x:c r="C204" s="114"/>
      <x:c r="D204" s="114"/>
      <x:c r="E204" s="126"/>
      <x:c r="F204" s="126"/>
      <x:c r="G204" s="126"/>
      <x:c r="H204" s="114"/>
      <x:c r="I204" s="126"/>
      <x:c r="J204" s="130" t="str">
        <x:f>IF(OR(E204="",F204="",H204="",I204=""),"",ABS(E204-F204)*H204*I204)</x:f>
      </x:c>
      <x:c r="K204" s="130" t="str">
        <x:f>IF(OR(D204="",E204="",G204="",H204="",I204=""),"",IF(UPPER(D204)="LONG",(G204-E204)*H204*I204,IF(UPPER(D204)="SHORT",(E204-G204)*H204*I204,"")))</x:f>
      </x:c>
      <x:c r="L204" s="126"/>
      <x:c r="M204" s="130" t="str">
        <x:f>IF(K204="","",K204-IF(L204="",0,L204))</x:f>
      </x:c>
      <x:c r="N204" s="134" t="str">
        <x:f>IF(OR(M204="",J204="",J204=0),"",M204/J204)</x:f>
      </x:c>
      <x:c r="O204" s="114"/>
      <x:c r="P204" s="114"/>
      <x:c r="Q204" s="114"/>
    </x:row>
    <x:row r="205" ht="24" customHeight="1">
      <x:c r="A205" s="123"/>
      <x:c r="B205" s="115"/>
      <x:c r="C205" s="115"/>
      <x:c r="D205" s="115"/>
      <x:c r="E205" s="127"/>
      <x:c r="F205" s="127"/>
      <x:c r="G205" s="127"/>
      <x:c r="H205" s="115"/>
      <x:c r="I205" s="127"/>
      <x:c r="J205" s="131" t="str">
        <x:f>IF(OR(E205="",F205="",H205="",I205=""),"",ABS(E205-F205)*H205*I205)</x:f>
      </x:c>
      <x:c r="K205" s="131" t="str">
        <x:f>IF(OR(D205="",E205="",G205="",H205="",I205=""),"",IF(UPPER(D205)="LONG",(G205-E205)*H205*I205,IF(UPPER(D205)="SHORT",(E205-G205)*H205*I205,"")))</x:f>
      </x:c>
      <x:c r="L205" s="127"/>
      <x:c r="M205" s="131" t="str">
        <x:f>IF(K205="","",K205-IF(L205="",0,L205))</x:f>
      </x:c>
      <x:c r="N205" s="135" t="str">
        <x:f>IF(OR(M205="",J205="",J205=0),"",M205/J205)</x:f>
      </x:c>
      <x:c r="O205" s="115"/>
      <x:c r="P205" s="115"/>
      <x:c r="Q205" s="115"/>
    </x:row>
  </x:sheetData>
  <x:mergeCells>
    <x:mergeCell ref="A1:Q1"/>
    <x:mergeCell ref="A2:Q2"/>
  </x:mergeCells>
  <x:conditionalFormatting sqref="M6:M205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N6:N205">
    <x:cfRule type="colorScale" priority="3">
      <x:colorScale>
        <x:cfvo type="min"/>
        <x:cfvo type="percentile" val="50"/>
        <x:cfvo type="max"/>
        <x:color rgb="FFF2D9D2"/>
        <x:color rgb="FFF7F0DE"/>
        <x:color rgb="FFDCE7D6"/>
      </x:colorScale>
    </x:cfRule>
  </x:conditionalFormatting>
  <x:dataValidations count="2">
    <x:dataValidation type="list" sqref="D6:D205">
      <x:formula1>"LONG,SHORT"</x:formula1>
    </x:dataValidation>
    <x:dataValidation type="list" sqref="O6:O205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335ec55be45a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45" hidden="0" customWidth="1"/>
    <x:col min="4" max="4" width="54" hidden="0" customWidth="1"/>
  </x:cols>
  <x:sheetData>
    <x:row r="1" ht="28" customHeight="1">
      <x:c r="A1" s="4" t="str">
        <x:v>FIELD GUIDE  /  WHAT EACH COLUMN MEANS</x:v>
      </x:c>
      <x:c r="B1" s="4"/>
      <x:c r="C1" s="4"/>
      <x:c r="D1" s="4"/>
    </x:row>
    <x:row r="3" ht="30" customHeight="1">
      <x:c r="A3" s="140" t="str">
        <x:v>Column</x:v>
      </x:c>
      <x:c r="B3" s="140" t="str">
        <x:v>Input or formula</x:v>
      </x:c>
      <x:c r="C3" s="140" t="str">
        <x:v>What it means</x:v>
      </x:c>
      <x:c r="D3" s="140" t="str">
        <x:v>How to use it</x:v>
      </x:c>
    </x:row>
    <x:row r="4" ht="38" customHeight="1">
      <x:c r="A4" s="150" t="str">
        <x:v>Date</x:v>
      </x:c>
      <x:c r="B4" s="154" t="str">
        <x:v>Input</x:v>
      </x:c>
      <x:c r="C4" s="106" t="str">
        <x:v>Date the trade was entered or closed.</x:v>
      </x:c>
      <x:c r="D4" s="106" t="str">
        <x:v>Use a real date so entries sort chronologically.</x:v>
      </x:c>
    </x:row>
    <x:row r="5" ht="38" customHeight="1">
      <x:c r="A5" s="150" t="str">
        <x:v>Instrument</x:v>
      </x:c>
      <x:c r="B5" s="154" t="str">
        <x:v>Input</x:v>
      </x:c>
      <x:c r="C5" s="106" t="str">
        <x:v>Symbol or instrument name.</x:v>
      </x:c>
      <x:c r="D5" s="106" t="str">
        <x:v>Examples: NIFTY FUT, RELIANCE, XAUUSD. Use the symbol you recognise.</x:v>
      </x:c>
    </x:row>
    <x:row r="6" ht="38" customHeight="1">
      <x:c r="A6" s="150" t="str">
        <x:v>Setup type</x:v>
      </x:c>
      <x:c r="B6" s="154" t="str">
        <x:v>Input</x:v>
      </x:c>
      <x:c r="C6" s="106" t="str">
        <x:v>The strategy or pattern used.</x:v>
      </x:c>
      <x:c r="D6" s="106" t="str">
        <x:v>Use consistent names so you can filter and review similar trades.</x:v>
      </x:c>
    </x:row>
    <x:row r="7" ht="38" customHeight="1">
      <x:c r="A7" s="150" t="str">
        <x:v>Direction</x:v>
      </x:c>
      <x:c r="B7" s="154" t="str">
        <x:v>Input</x:v>
      </x:c>
      <x:c r="C7" s="106" t="str">
        <x:v>LONG or SHORT.</x:v>
      </x:c>
      <x:c r="D7" s="106" t="str">
        <x:v>Choose from the dropdown.</x:v>
      </x:c>
    </x:row>
    <x:row r="8" ht="38" customHeight="1">
      <x:c r="A8" s="150" t="str">
        <x:v>Entry price</x:v>
      </x:c>
      <x:c r="B8" s="154" t="str">
        <x:v>Input</x:v>
      </x:c>
      <x:c r="C8" s="106" t="str">
        <x:v>Average entry fill.</x:v>
      </x:c>
      <x:c r="D8" s="106" t="str">
        <x:v>Use the actual average fill if the position was scaled in.</x:v>
      </x:c>
    </x:row>
    <x:row r="9" ht="38" customHeight="1">
      <x:c r="A9" s="150" t="str">
        <x:v>Stop price</x:v>
      </x:c>
      <x:c r="B9" s="154" t="str">
        <x:v>Input</x:v>
      </x:c>
      <x:c r="C9" s="106" t="str">
        <x:v>Planned invalidation / stop level.</x:v>
      </x:c>
      <x:c r="D9" s="106" t="str">
        <x:v>This drives the planned-risk calculation.</x:v>
      </x:c>
    </x:row>
    <x:row r="10" ht="38" customHeight="1">
      <x:c r="A10" s="150" t="str">
        <x:v>Exit price</x:v>
      </x:c>
      <x:c r="B10" s="154" t="str">
        <x:v>Input</x:v>
      </x:c>
      <x:c r="C10" s="106" t="str">
        <x:v>Average exit fill.</x:v>
      </x:c>
      <x:c r="D10" s="106" t="str">
        <x:v>Use the actual average exit fill.</x:v>
      </x:c>
    </x:row>
    <x:row r="11" ht="38" customHeight="1">
      <x:c r="A11" s="150" t="str">
        <x:v>Qty / contracts</x:v>
      </x:c>
      <x:c r="B11" s="154" t="str">
        <x:v>Input</x:v>
      </x:c>
      <x:c r="C11" s="106" t="str">
        <x:v>Number of units, shares, lots or contracts.</x:v>
      </x:c>
      <x:c r="D11" s="106" t="str">
        <x:v>Match this to the ₹ per point value used in the next column.</x:v>
      </x:c>
    </x:row>
    <x:row r="12" ht="38" customHeight="1">
      <x:c r="A12" s="150" t="str">
        <x:v>₹ per point</x:v>
      </x:c>
      <x:c r="B12" s="154" t="str">
        <x:v>Input</x:v>
      </x:c>
      <x:c r="C12" s="106" t="str">
        <x:v>Rupee value of a one-point move for each unit entered.</x:v>
      </x:c>
      <x:c r="D12" s="106" t="str">
        <x:v>For shares this is often ₹1 per ₹1 move per share; for derivatives, account for the contract multiplier.</x:v>
      </x:c>
    </x:row>
    <x:row r="13" ht="38" customHeight="1">
      <x:c r="A13" s="150" t="str">
        <x:v>Planned risk (₹)</x:v>
      </x:c>
      <x:c r="B13" s="154" t="str">
        <x:v>Formula</x:v>
      </x:c>
      <x:c r="C13" s="106" t="str">
        <x:v>Absolute entry-to-stop distance × quantity × ₹ per point.</x:v>
      </x:c>
      <x:c r="D13" s="106" t="str">
        <x:v>Shaded sage; calculated automatically.</x:v>
      </x:c>
    </x:row>
    <x:row r="14" ht="38" customHeight="1">
      <x:c r="A14" s="150" t="str">
        <x:v>Gross P&amp;L (₹)</x:v>
      </x:c>
      <x:c r="B14" s="154" t="str">
        <x:v>Formula</x:v>
      </x:c>
      <x:c r="C14" s="106" t="str">
        <x:v>Price movement × quantity × ₹ per point, signed by direction.</x:v>
      </x:c>
      <x:c r="D14" s="106" t="str">
        <x:v>Shaded sage; calculated automatically before costs.</x:v>
      </x:c>
    </x:row>
    <x:row r="15" ht="38" customHeight="1">
      <x:c r="A15" s="150" t="str">
        <x:v>Costs (₹)</x:v>
      </x:c>
      <x:c r="B15" s="154" t="str">
        <x:v>Input</x:v>
      </x:c>
      <x:c r="C15" s="106" t="str">
        <x:v>Brokerage, taxes, exchange fees and other trade costs you choose to include.</x:v>
      </x:c>
      <x:c r="D15" s="106" t="str">
        <x:v>Use a non-negative amount.</x:v>
      </x:c>
    </x:row>
    <x:row r="16" ht="38" customHeight="1">
      <x:c r="A16" s="150" t="str">
        <x:v>Net P&amp;L (₹)</x:v>
      </x:c>
      <x:c r="B16" s="154" t="str">
        <x:v>Formula</x:v>
      </x:c>
      <x:c r="C16" s="106" t="str">
        <x:v>Gross P&amp;L minus costs.</x:v>
      </x:c>
      <x:c r="D16" s="106" t="str">
        <x:v>Shaded sage; calculated automatically.</x:v>
      </x:c>
    </x:row>
    <x:row r="17" ht="38" customHeight="1">
      <x:c r="A17" s="150" t="str">
        <x:v>R result</x:v>
      </x:c>
      <x:c r="B17" s="154" t="str">
        <x:v>Formula</x:v>
      </x:c>
      <x:c r="C17" s="106" t="str">
        <x:v>Net P&amp;L divided by planned risk.</x:v>
      </x:c>
      <x:c r="D17" s="106" t="str">
        <x:v>A positive number is a gain; a negative number is a loss, measured in initial-risk units.</x:v>
      </x:c>
    </x:row>
    <x:row r="18" ht="38" customHeight="1">
      <x:c r="A18" s="150" t="str">
        <x:v>Checklist followed?</x:v>
      </x:c>
      <x:c r="B18" s="154" t="str">
        <x:v>Input</x:v>
      </x:c>
      <x:c r="C18" s="106" t="str">
        <x:v>Whether the planned checklist was followed.</x:v>
      </x:c>
      <x:c r="D18" s="106" t="str">
        <x:v>Choose Y or N.</x:v>
      </x:c>
    </x:row>
    <x:row r="19" ht="38" customHeight="1">
      <x:c r="A19" s="150" t="str">
        <x:v>Mistake code</x:v>
      </x:c>
      <x:c r="B19" s="154" t="str">
        <x:v>Input</x:v>
      </x:c>
      <x:c r="C19" s="106" t="str">
        <x:v>A short label for a recurring execution error.</x:v>
      </x:c>
      <x:c r="D19" s="106" t="str">
        <x:v>Use the same code consistently (e.g., 04 = moved stop).</x:v>
      </x:c>
    </x:row>
    <x:row r="20" ht="38" customHeight="1">
      <x:c r="A20" s="150" t="str">
        <x:v>One-line review</x:v>
      </x:c>
      <x:c r="B20" s="154" t="str">
        <x:v>Input</x:v>
      </x:c>
      <x:c r="C20" s="106" t="str">
        <x:v>The one thing to remember about this trade.</x:v>
      </x:c>
      <x:c r="D20" s="106" t="str">
        <x:v>Write what you did, what mattered and what to change next time.</x:v>
      </x:c>
    </x:row>
    <x:row r="21" ht="38" customHeight="1">
      <x:c r="A21" s="151"/>
      <x:c r="B21" s="155"/>
      <x:c r="C21" s="146"/>
      <x:c r="D21" s="146"/>
    </x:row>
  </x:sheetData>
  <x:mergeCells>
    <x:mergeCell ref="A1:D1"/>
  </x:mergeCells>
  <x:pageMargins left="0.7" right="0.7" top="0.75" bottom="0.75" header="0.3" footer="0.3"/>
</x:worksheet>
</file>